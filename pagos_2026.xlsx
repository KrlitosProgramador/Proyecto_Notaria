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QUIPO 25\Desktop\Beneficencia\app_notaria\"/>
    </mc:Choice>
  </mc:AlternateContent>
  <bookViews>
    <workbookView xWindow="0" yWindow="0" windowWidth="28800" windowHeight="11580"/>
  </bookViews>
  <sheets>
    <sheet name="pagos_2026" sheetId="1" r:id="rId1"/>
  </sheets>
  <externalReferences>
    <externalReference r:id="rId2"/>
  </externalReferences>
  <definedNames>
    <definedName name="_56F9DC9755BA473782653E2940F9FormId">"qs8em3XG7kKylw6utRvMTAsXUFyu9bNLuSgyg886h5hUNjJCTDJHSTRJUUNWTzJRSUpMODVOMDBZQi4u"</definedName>
    <definedName name="_56F9DC9755BA473782653E2940F9ResponseSheet">"Form1"</definedName>
    <definedName name="_56F9DC9755BA473782653E2940F9SourceDocId">"{5ead13d5-5352-4817-a0e2-9f7def58e808}"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 a="1"/>
  <c r="O15" i="1" l="1"/>
  <c r="N80" i="1"/>
  <c r="O72" i="1"/>
  <c r="N90" i="1"/>
  <c r="N29" i="1"/>
  <c r="O12" i="1"/>
  <c r="O9" i="1"/>
  <c r="O33" i="1"/>
  <c r="N78" i="1"/>
  <c r="O56" i="1"/>
  <c r="N53" i="1"/>
  <c r="O27" i="1"/>
  <c r="O26" i="1"/>
  <c r="N10" i="1"/>
  <c r="O75" i="1"/>
  <c r="O5" i="1"/>
  <c r="O8" i="1"/>
  <c r="O88" i="1"/>
  <c r="N89" i="1"/>
  <c r="N9" i="1"/>
  <c r="O50" i="1"/>
  <c r="N86" i="1"/>
  <c r="O39" i="1"/>
  <c r="N37" i="1"/>
  <c r="N25" i="1"/>
  <c r="O22" i="1"/>
  <c r="O13" i="1"/>
  <c r="N27" i="1"/>
  <c r="N33" i="1"/>
  <c r="O20" i="1"/>
  <c r="O58" i="1"/>
  <c r="O21" i="1"/>
  <c r="N57" i="1"/>
  <c r="N74" i="1"/>
  <c r="N62" i="1"/>
  <c r="O53" i="1"/>
  <c r="N64" i="1"/>
  <c r="O35" i="1"/>
  <c r="O30" i="1"/>
  <c r="N3" i="1"/>
  <c r="N46" i="1"/>
  <c r="O19" i="1"/>
  <c r="O91" i="1"/>
  <c r="O34" i="1"/>
  <c r="N2" i="1"/>
  <c r="O76" i="1"/>
  <c r="O71" i="1"/>
  <c r="N58" i="1"/>
  <c r="N54" i="1"/>
  <c r="O31" i="1"/>
  <c r="O10" i="1"/>
  <c r="N40" i="1"/>
  <c r="N41" i="1"/>
  <c r="N7" i="1"/>
  <c r="N17" i="1"/>
  <c r="N13" i="1"/>
  <c r="N61" i="1"/>
  <c r="N69" i="1"/>
  <c r="N72" i="1"/>
  <c r="N79" i="1"/>
  <c r="O24" i="1"/>
  <c r="N39" i="1"/>
  <c r="O7" i="1"/>
  <c r="N4" i="1"/>
  <c r="N65" i="1"/>
  <c r="N14" i="1"/>
  <c r="O18" i="1"/>
  <c r="N43" i="1"/>
  <c r="N22" i="1"/>
  <c r="N76" i="1"/>
  <c r="N20" i="1"/>
  <c r="O40" i="1"/>
  <c r="O37" i="1"/>
  <c r="N48" i="1"/>
  <c r="N66" i="1"/>
  <c r="N31" i="1"/>
  <c r="O52" i="1"/>
  <c r="O28" i="1"/>
  <c r="N59" i="1"/>
  <c r="N82" i="1"/>
  <c r="N85" i="1"/>
  <c r="O80" i="1"/>
  <c r="O25" i="1"/>
  <c r="N75" i="1"/>
  <c r="O81" i="1"/>
  <c r="O73" i="1"/>
  <c r="O45" i="1"/>
  <c r="N68" i="1"/>
  <c r="O49" i="1"/>
  <c r="N70" i="1"/>
  <c r="O29" i="1"/>
  <c r="O62" i="1"/>
  <c r="N47" i="1"/>
  <c r="N52" i="1"/>
  <c r="O87" i="1"/>
  <c r="O51" i="1"/>
  <c r="N32" i="1"/>
  <c r="O61" i="1"/>
  <c r="N42" i="1"/>
  <c r="O67" i="1"/>
  <c r="N5" i="1"/>
  <c r="N51" i="1"/>
  <c r="N34" i="1"/>
  <c r="O36" i="1"/>
  <c r="O54" i="1"/>
  <c r="O82" i="1"/>
  <c r="O4" i="1"/>
  <c r="O41" i="1"/>
  <c r="N88" i="1"/>
  <c r="O60" i="1"/>
  <c r="O44" i="1"/>
  <c r="N83" i="1"/>
  <c r="N19" i="1"/>
  <c r="N23" i="1"/>
  <c r="O32" i="1"/>
  <c r="N12" i="1"/>
  <c r="O59" i="1"/>
  <c r="N8" i="1"/>
  <c r="N16" i="1"/>
  <c r="N87" i="1"/>
  <c r="N36" i="1"/>
  <c r="O74" i="1"/>
  <c r="O55" i="1"/>
  <c r="O65" i="1"/>
  <c r="N92" i="1"/>
  <c r="O2" i="1"/>
  <c r="N11" i="1"/>
  <c r="O78" i="1"/>
  <c r="O3" i="1"/>
  <c r="O6" i="1"/>
  <c r="N84" i="1"/>
  <c r="O83" i="1"/>
  <c r="N63" i="1"/>
  <c r="O17" i="1"/>
  <c r="N26" i="1"/>
  <c r="O48" i="1"/>
  <c r="N91" i="1"/>
  <c r="N35" i="1"/>
  <c r="N60" i="1"/>
  <c r="N6" i="1"/>
  <c r="N21" i="1"/>
  <c r="N44" i="1"/>
  <c r="O38" i="1"/>
  <c r="O16" i="1"/>
  <c r="O57" i="1"/>
  <c r="O69" i="1"/>
  <c r="O77" i="1"/>
  <c r="O47" i="1"/>
  <c r="N30" i="1"/>
  <c r="N73" i="1"/>
  <c r="O66" i="1"/>
  <c r="O63" i="1"/>
  <c r="O42" i="1"/>
  <c r="N45" i="1"/>
  <c r="O14" i="1"/>
  <c r="O89" i="1"/>
  <c r="N28" i="1"/>
  <c r="N18" i="1"/>
  <c r="O43" i="1"/>
  <c r="N55" i="1"/>
  <c r="O68" i="1"/>
  <c r="N77" i="1"/>
  <c r="O46" i="1"/>
  <c r="N49" i="1"/>
  <c r="N15" i="1"/>
  <c r="N71" i="1"/>
  <c r="O11" i="1"/>
  <c r="O85" i="1"/>
  <c r="O92" i="1"/>
  <c r="N24" i="1"/>
  <c r="O79" i="1"/>
  <c r="O23" i="1"/>
  <c r="N81" i="1"/>
  <c r="N67" i="1"/>
  <c r="N50" i="1"/>
  <c r="O64" i="1"/>
  <c r="O70" i="1"/>
  <c r="N56" i="1"/>
  <c r="O84" i="1"/>
  <c r="N38" i="1"/>
  <c r="O90" i="1"/>
  <c r="O86" i="1"/>
</calcChain>
</file>

<file path=xl/sharedStrings.xml><?xml version="1.0" encoding="utf-8"?>
<sst xmlns="http://schemas.openxmlformats.org/spreadsheetml/2006/main" count="179" uniqueCount="21">
  <si>
    <t xml:space="preserve">  </t>
  </si>
  <si>
    <t>No</t>
  </si>
  <si>
    <t>Si</t>
  </si>
  <si>
    <t>certificado previo</t>
  </si>
  <si>
    <t>Faltante</t>
  </si>
  <si>
    <t>Certificado previo</t>
  </si>
  <si>
    <t>Certificado Previo</t>
  </si>
  <si>
    <t>Cesar</t>
  </si>
  <si>
    <t>Certificado</t>
  </si>
  <si>
    <t>14</t>
  </si>
  <si>
    <t>escritura</t>
  </si>
  <si>
    <t>nir</t>
  </si>
  <si>
    <t>pago</t>
  </si>
  <si>
    <t>liquidacion</t>
  </si>
  <si>
    <t>valor_ben</t>
  </si>
  <si>
    <t>valor_reg</t>
  </si>
  <si>
    <t>faltante</t>
  </si>
  <si>
    <t>sobrante</t>
  </si>
  <si>
    <t>observaciones</t>
  </si>
  <si>
    <t>total_recibos</t>
  </si>
  <si>
    <t>total_actas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</si>
</sst>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240A]\ * #,##0_-;\-[$$-240A]\ * #,##0_-;_-[$$-240A]\ * &quot;-&quot;_-;_-@_-"/>
    <numFmt numFmtId="165" formatCode="dd\-mm\-yy;@"/>
  </numFmts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/>
    <xf numFmtId="16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center" wrapText="1"/>
    </xf>
    <xf numFmtId="164" fontId="0" fillId="0" borderId="2" xfId="0" applyNumberFormat="1" applyBorder="1"/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wrapText="1"/>
    </xf>
    <xf numFmtId="0" fontId="0" fillId="0" borderId="0" xfId="0" applyAlignment="1">
      <alignment wrapText="1"/>
    </xf>
    <xf numFmtId="1" fontId="0" fillId="0" borderId="2" xfId="0" applyNumberFormat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/>
    </xf>
    <xf numFmtId="14" fontId="2" fillId="3" borderId="4" xfId="1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 wrapText="1"/>
    </xf>
    <xf numFmtId="1" fontId="2" fillId="3" borderId="5" xfId="1" applyNumberFormat="1" applyFont="1" applyFill="1" applyBorder="1" applyAlignment="1">
      <alignment horizontal="center" vertical="center"/>
    </xf>
  </cellXfs>
  <cellStyles count="2">
    <cellStyle name="Entrada" xfId="1" builtinId="20"/>
    <cellStyle name="Normal" xfId="0" builtinId="0"/>
  </cellStyles>
  <dxfs count="2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[$$-240A]\ * #,##0_-;\-[$$-240A]\ * #,##0_-;_-[$$-240A]\ * &quot;-&quot;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[$$-240A]\ * #,##0_-;\-[$$-240A]\ * #,##0_-;_-[$$-240A]\ * &quot;-&quot;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[$$-240A]\ * #,##0_-;\-[$$-240A]\ * #,##0_-;_-[$$-240A]\ * &quot;-&quot;_-;_-@_-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_-[$$-240A]\ * #,##0_-;\-[$$-240A]\ * #,##0_-;_-[$$-240A]\ * &quot;-&quot;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_-[$$-240A]\ * #,##0_-;\-[$$-240A]\ * #,##0_-;_-[$$-240A]\ * &quot;-&quot;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_-[$$-240A]\ * #,##0_-;\-[$$-240A]\ * #,##0_-;_-[$$-240A]\ * &quot;-&quot;_-;_-@_-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7" formatCode="dd/mm/yyyy"/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QUIPO%2025/Desktop/Beneficencia/Informe-antigu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."/>
      <sheetName val="2025"/>
      <sheetName val="Validacion"/>
      <sheetName val="Dev"/>
      <sheetName val="Hoja1"/>
      <sheetName val="Informe-antigu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id="1" name="pagos2026" displayName="pagos2026" ref="A1:K115" totalsRowShown="0" headerRowDxfId="19" headerRowBorderDxfId="18" headerRowCellStyle="Entrada">
  <autoFilter ref="A1:K115"/>
  <sortState ref="A2:N115">
    <sortCondition ref="K4:K181"/>
  </sortState>
  <tableColumns count="11">
    <tableColumn id="1" name="escritura" dataDxfId="17"/>
    <tableColumn id="2" name="nir" dataDxfId="16"/>
    <tableColumn id="6" name="pago" dataDxfId="15"/>
    <tableColumn id="7" name="liquidacion" dataDxfId="14"/>
    <tableColumn id="8" name="valor_ben" dataDxfId="13"/>
    <tableColumn id="9" name="valor_reg" dataDxfId="12"/>
    <tableColumn id="10" name="total_recibos" dataDxfId="11"/>
    <tableColumn id="11" name="total_actas" dataDxfId="10"/>
    <tableColumn id="12" name="faltante" dataDxfId="9"/>
    <tableColumn id="13" name="sobrante" dataDxfId="8"/>
    <tableColumn id="14" name="observacione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Z181"/>
  <sheetViews>
    <sheetView tabSelected="1" workbookViewId="0">
      <pane xSplit="2" ySplit="1" topLeftCell="C69" activePane="bottomRight" state="frozen"/>
      <selection pane="topRight"/>
      <selection pane="bottomLeft"/>
      <selection pane="bottomRight" activeCell="C1" sqref="C1:C1048576"/>
    </sheetView>
  </sheetViews>
  <sheetFormatPr baseColWidth="10" defaultColWidth="0" defaultRowHeight="15" x14ac:dyDescent="0.25"/>
  <cols>
    <col min="1" max="1" width="12.7109375" bestFit="1" customWidth="1"/>
    <col min="2" max="2" width="19.42578125" customWidth="1"/>
    <col min="3" max="3" width="11" customWidth="1"/>
    <col min="4" max="4" width="15.5703125" customWidth="1"/>
    <col min="5" max="5" width="14.85546875" customWidth="1"/>
    <col min="6" max="6" width="14.42578125" customWidth="1"/>
    <col min="7" max="7" width="14.85546875" customWidth="1"/>
    <col min="8" max="8" width="15.7109375" customWidth="1"/>
    <col min="9" max="9" width="13.85546875" bestFit="1" customWidth="1"/>
    <col min="10" max="10" width="15.85546875" bestFit="1" customWidth="1"/>
    <col min="11" max="11" width="18.7109375" bestFit="1" customWidth="1"/>
    <col min="12" max="13" width="10.42578125" customWidth="1"/>
    <col min="14" max="14" width="0" style="2" hidden="1"/>
    <col min="15" max="15" width="12.42578125" style="1" hidden="1"/>
    <col min="24" max="24" width="0" style="1" hidden="1"/>
    <col min="26" max="26" width="0" style="1" hidden="1"/>
  </cols>
  <sheetData>
    <row r="1" spans="1:18" x14ac:dyDescent="0.25">
      <c r="A1" s="19" t="s">
        <v>10</v>
      </c>
      <c r="B1" s="17" t="s">
        <v>11</v>
      </c>
      <c r="C1" s="18" t="s">
        <v>12</v>
      </c>
      <c r="D1" s="17" t="s">
        <v>13</v>
      </c>
      <c r="E1" s="17" t="s">
        <v>14</v>
      </c>
      <c r="F1" s="17" t="s">
        <v>15</v>
      </c>
      <c r="G1" s="17" t="s">
        <v>19</v>
      </c>
      <c r="H1" s="17" t="s">
        <v>20</v>
      </c>
      <c r="I1" s="17" t="s">
        <v>16</v>
      </c>
      <c r="J1" s="17" t="s">
        <v>17</v>
      </c>
      <c r="K1" s="16" t="s">
        <v>18</v>
      </c>
    </row>
    <row r="2" spans="1:18" x14ac:dyDescent="0.25">
      <c r="A2" s="8" t="s">
        <v>9</v>
      </c>
      <c r="B2" s="9">
        <v>26102023447485</v>
      </c>
      <c r="C2" s="10" t="s">
        <v>2</v>
      </c>
      <c r="D2" s="9">
        <v>106248377</v>
      </c>
      <c r="E2" s="7">
        <v>264400</v>
      </c>
      <c r="F2" s="7">
        <v>54400</v>
      </c>
      <c r="G2" s="7">
        <v>318800</v>
      </c>
      <c r="H2" s="6">
        <v>316300</v>
      </c>
      <c r="I2" s="5">
        <v>2500</v>
      </c>
      <c r="J2" s="5"/>
      <c r="K2" s="4">
        <v>0</v>
      </c>
      <c r="N2" s="15" t="e">
        <f t="array" aca="1" ref="N2:O92" ca="1">_xlfn._xlws.SORT(_xlfn.UNIQUE(_xlfn.CHOOSECOLS(_xlfn._xlws.FILTER([1]!actas[[#All],[Escritura]:[Liquidacion]],([1]!actas[[#All],[Liquidacion]]&lt;&gt;0)*([1]!actas[[#All],[Año]]=2026)*([1]!actas[[#All],[Liquidacion]]&lt;&gt;""),),1,5),FALSE,FALSE),2,1)</f>
        <v>#NAME?</v>
      </c>
      <c r="O2" s="14" t="e">
        <f ca="1"/>
        <v>#NAME?</v>
      </c>
      <c r="P2" s="12"/>
      <c r="Q2" s="12"/>
      <c r="R2" s="12"/>
    </row>
    <row r="3" spans="1:18" x14ac:dyDescent="0.25">
      <c r="A3" s="8">
        <v>18</v>
      </c>
      <c r="B3" s="9">
        <v>26102023448063</v>
      </c>
      <c r="C3" s="10" t="s">
        <v>2</v>
      </c>
      <c r="D3" s="9">
        <v>106246100</v>
      </c>
      <c r="E3" s="7">
        <v>4031400</v>
      </c>
      <c r="F3" s="7">
        <v>4938300</v>
      </c>
      <c r="G3" s="7">
        <v>8969700</v>
      </c>
      <c r="H3" s="6">
        <v>8968200</v>
      </c>
      <c r="I3" s="5">
        <v>1500</v>
      </c>
      <c r="J3" s="5"/>
      <c r="K3" s="4">
        <v>0</v>
      </c>
      <c r="N3" s="2" t="e">
        <f ca="1"/>
        <v>#NAME?</v>
      </c>
      <c r="O3" s="14" t="e">
        <f ca="1"/>
        <v>#NAME?</v>
      </c>
      <c r="Q3" s="12"/>
    </row>
    <row r="4" spans="1:18" x14ac:dyDescent="0.25">
      <c r="A4" s="8">
        <v>8</v>
      </c>
      <c r="B4" s="9">
        <v>26102023461988</v>
      </c>
      <c r="C4" s="10" t="s">
        <v>2</v>
      </c>
      <c r="D4" s="9">
        <v>106365606</v>
      </c>
      <c r="E4" s="7">
        <v>269400</v>
      </c>
      <c r="F4" s="7">
        <v>581800</v>
      </c>
      <c r="G4" s="7">
        <v>851200</v>
      </c>
      <c r="H4" s="6">
        <v>848200</v>
      </c>
      <c r="I4" s="5">
        <v>3000</v>
      </c>
      <c r="J4" s="5"/>
      <c r="K4" s="4">
        <v>0</v>
      </c>
      <c r="N4" s="15" t="e">
        <f ca="1"/>
        <v>#NAME?</v>
      </c>
      <c r="O4" s="14" t="e">
        <f ca="1"/>
        <v>#NAME?</v>
      </c>
      <c r="Q4" s="12"/>
    </row>
    <row r="5" spans="1:18" x14ac:dyDescent="0.25">
      <c r="A5" s="8">
        <v>16</v>
      </c>
      <c r="B5" s="9">
        <v>26102023462072</v>
      </c>
      <c r="C5" s="10" t="s">
        <v>2</v>
      </c>
      <c r="D5" s="9">
        <v>106258782</v>
      </c>
      <c r="E5" s="7">
        <v>264400</v>
      </c>
      <c r="F5" s="7">
        <v>51900</v>
      </c>
      <c r="G5" s="7">
        <v>316300</v>
      </c>
      <c r="H5" s="6">
        <v>316300</v>
      </c>
      <c r="I5" s="5"/>
      <c r="J5" s="5"/>
      <c r="K5" s="4">
        <v>0</v>
      </c>
      <c r="N5" s="15" t="e">
        <f ca="1"/>
        <v>#NAME?</v>
      </c>
      <c r="O5" s="14" t="e">
        <f ca="1"/>
        <v>#NAME?</v>
      </c>
      <c r="Q5" s="12"/>
    </row>
    <row r="6" spans="1:18" x14ac:dyDescent="0.25">
      <c r="A6" s="8">
        <v>17</v>
      </c>
      <c r="B6" s="9">
        <v>26102023462089</v>
      </c>
      <c r="C6" s="10" t="s">
        <v>2</v>
      </c>
      <c r="D6" s="9">
        <v>106257703</v>
      </c>
      <c r="E6" s="7">
        <v>264400</v>
      </c>
      <c r="F6" s="7">
        <v>51900</v>
      </c>
      <c r="G6" s="7">
        <v>316300</v>
      </c>
      <c r="H6" s="6">
        <v>316300</v>
      </c>
      <c r="I6" s="5"/>
      <c r="J6" s="5"/>
      <c r="K6" s="4">
        <v>0</v>
      </c>
      <c r="N6" s="15" t="e">
        <f ca="1"/>
        <v>#NAME?</v>
      </c>
      <c r="O6" s="14" t="e">
        <f ca="1"/>
        <v>#NAME?</v>
      </c>
      <c r="Q6" s="12"/>
    </row>
    <row r="7" spans="1:18" x14ac:dyDescent="0.25">
      <c r="A7" s="8">
        <v>20</v>
      </c>
      <c r="B7" s="9">
        <v>26102023462107</v>
      </c>
      <c r="C7" s="10" t="s">
        <v>2</v>
      </c>
      <c r="D7" s="9">
        <v>106351923</v>
      </c>
      <c r="E7" s="7">
        <v>730400</v>
      </c>
      <c r="F7" s="7">
        <v>114600</v>
      </c>
      <c r="G7" s="7">
        <v>845000</v>
      </c>
      <c r="H7" s="6">
        <v>845000</v>
      </c>
      <c r="I7" s="5"/>
      <c r="J7" s="5"/>
      <c r="K7" s="4">
        <v>0</v>
      </c>
      <c r="N7" s="2" t="e">
        <f ca="1"/>
        <v>#NAME?</v>
      </c>
      <c r="O7" s="14" t="e">
        <f ca="1"/>
        <v>#NAME?</v>
      </c>
      <c r="Q7" s="12"/>
    </row>
    <row r="8" spans="1:18" x14ac:dyDescent="0.25">
      <c r="A8" s="8">
        <v>33</v>
      </c>
      <c r="B8" s="9">
        <v>26102023466001</v>
      </c>
      <c r="C8" s="10" t="s">
        <v>2</v>
      </c>
      <c r="D8" s="9">
        <v>106260007</v>
      </c>
      <c r="E8" s="7">
        <v>264400</v>
      </c>
      <c r="F8" s="7">
        <v>54400</v>
      </c>
      <c r="G8" s="7">
        <v>318800</v>
      </c>
      <c r="H8" s="6">
        <v>316300</v>
      </c>
      <c r="I8" s="5">
        <v>2500</v>
      </c>
      <c r="J8" s="5"/>
      <c r="K8" s="4">
        <v>0</v>
      </c>
      <c r="N8" s="2" t="e">
        <f ca="1"/>
        <v>#NAME?</v>
      </c>
      <c r="O8" s="14" t="e">
        <f ca="1"/>
        <v>#NAME?</v>
      </c>
      <c r="Q8" s="12"/>
    </row>
    <row r="9" spans="1:18" x14ac:dyDescent="0.25">
      <c r="A9" s="8">
        <v>53</v>
      </c>
      <c r="B9" s="9">
        <v>26102023475121</v>
      </c>
      <c r="C9" s="10" t="s">
        <v>2</v>
      </c>
      <c r="D9" s="9">
        <v>106264734</v>
      </c>
      <c r="E9" s="7">
        <v>6264400</v>
      </c>
      <c r="F9" s="7">
        <v>7858500</v>
      </c>
      <c r="G9" s="7">
        <v>14122900</v>
      </c>
      <c r="H9" s="6">
        <v>14122900</v>
      </c>
      <c r="I9" s="5"/>
      <c r="J9" s="5"/>
      <c r="K9" s="4">
        <v>0</v>
      </c>
      <c r="N9" s="2" t="e">
        <f ca="1"/>
        <v>#NAME?</v>
      </c>
      <c r="O9" s="1" t="e">
        <f ca="1"/>
        <v>#NAME?</v>
      </c>
      <c r="Q9" s="12"/>
    </row>
    <row r="10" spans="1:18" x14ac:dyDescent="0.25">
      <c r="A10" s="8">
        <v>54</v>
      </c>
      <c r="B10" s="9">
        <v>26102023475159</v>
      </c>
      <c r="C10" s="10" t="s">
        <v>2</v>
      </c>
      <c r="D10" s="9">
        <v>106264912</v>
      </c>
      <c r="E10" s="7">
        <v>4031400</v>
      </c>
      <c r="F10" s="7">
        <v>4961500</v>
      </c>
      <c r="G10" s="7">
        <v>8992900</v>
      </c>
      <c r="H10" s="6">
        <v>8992900</v>
      </c>
      <c r="I10" s="5"/>
      <c r="J10" s="5"/>
      <c r="K10" s="4">
        <v>0</v>
      </c>
      <c r="N10" s="2" t="e">
        <f ca="1"/>
        <v>#NAME?</v>
      </c>
      <c r="O10" s="1" t="e">
        <f ca="1"/>
        <v>#NAME?</v>
      </c>
      <c r="Q10" s="12"/>
    </row>
    <row r="11" spans="1:18" x14ac:dyDescent="0.25">
      <c r="A11" s="8">
        <v>55</v>
      </c>
      <c r="B11" s="9">
        <v>26102023475184</v>
      </c>
      <c r="C11" s="10" t="s">
        <v>2</v>
      </c>
      <c r="D11" s="9">
        <v>106264491</v>
      </c>
      <c r="E11" s="7">
        <v>12497400</v>
      </c>
      <c r="F11" s="7">
        <v>15693700</v>
      </c>
      <c r="G11" s="7">
        <v>28191100</v>
      </c>
      <c r="H11" s="6">
        <v>28191100</v>
      </c>
      <c r="I11" s="5"/>
      <c r="J11" s="5"/>
      <c r="K11" s="4">
        <v>0</v>
      </c>
      <c r="N11" s="2" t="e">
        <f ca="1"/>
        <v>#NAME?</v>
      </c>
      <c r="O11" s="1" t="e">
        <f ca="1"/>
        <v>#NAME?</v>
      </c>
      <c r="Q11" s="12"/>
    </row>
    <row r="12" spans="1:18" x14ac:dyDescent="0.25">
      <c r="A12" s="8">
        <v>31</v>
      </c>
      <c r="B12" s="9">
        <v>26102023475717</v>
      </c>
      <c r="C12" s="10" t="s">
        <v>2</v>
      </c>
      <c r="D12" s="9">
        <v>106264441</v>
      </c>
      <c r="E12" s="7">
        <v>3181400</v>
      </c>
      <c r="F12" s="7">
        <v>5693300</v>
      </c>
      <c r="G12" s="7">
        <v>8874700</v>
      </c>
      <c r="H12" s="6">
        <v>8874700</v>
      </c>
      <c r="I12" s="5"/>
      <c r="J12" s="5"/>
      <c r="K12" s="4">
        <v>0</v>
      </c>
      <c r="N12" s="2" t="e">
        <f ca="1"/>
        <v>#NAME?</v>
      </c>
      <c r="O12" s="1" t="e">
        <f ca="1"/>
        <v>#NAME?</v>
      </c>
      <c r="Q12" s="12"/>
    </row>
    <row r="13" spans="1:18" x14ac:dyDescent="0.25">
      <c r="A13" s="8">
        <v>34</v>
      </c>
      <c r="B13" s="9">
        <v>26102023478648</v>
      </c>
      <c r="C13" s="10" t="s">
        <v>2</v>
      </c>
      <c r="D13" s="9">
        <v>106368651</v>
      </c>
      <c r="E13" s="7">
        <v>1252400</v>
      </c>
      <c r="F13" s="7">
        <v>1139400</v>
      </c>
      <c r="G13" s="7">
        <v>2391800</v>
      </c>
      <c r="H13" s="6">
        <v>2370892</v>
      </c>
      <c r="I13" s="5">
        <v>20908</v>
      </c>
      <c r="J13" s="5"/>
      <c r="K13" s="4">
        <v>0</v>
      </c>
      <c r="N13" s="2" t="e">
        <f ca="1"/>
        <v>#NAME?</v>
      </c>
      <c r="O13" s="1" t="e">
        <f ca="1"/>
        <v>#NAME?</v>
      </c>
      <c r="Q13" s="12"/>
    </row>
    <row r="14" spans="1:18" x14ac:dyDescent="0.25">
      <c r="A14" s="8">
        <v>35</v>
      </c>
      <c r="B14" s="9">
        <v>26102023478663</v>
      </c>
      <c r="C14" s="10" t="s">
        <v>2</v>
      </c>
      <c r="D14" s="9">
        <v>106378317</v>
      </c>
      <c r="E14" s="7">
        <v>3897400</v>
      </c>
      <c r="F14" s="7">
        <v>4641200</v>
      </c>
      <c r="G14" s="7">
        <v>8538600</v>
      </c>
      <c r="H14" s="6">
        <v>8455600</v>
      </c>
      <c r="I14" s="5">
        <v>83000</v>
      </c>
      <c r="J14" s="5"/>
      <c r="K14" s="4">
        <v>0</v>
      </c>
      <c r="N14" s="2" t="e">
        <f ca="1"/>
        <v>#NAME?</v>
      </c>
      <c r="O14" s="1" t="e">
        <f ca="1"/>
        <v>#NAME?</v>
      </c>
      <c r="Q14" s="12"/>
    </row>
    <row r="15" spans="1:18" x14ac:dyDescent="0.25">
      <c r="A15" s="8">
        <v>45</v>
      </c>
      <c r="B15" s="9">
        <v>26102023486226</v>
      </c>
      <c r="C15" s="10" t="s">
        <v>2</v>
      </c>
      <c r="D15" s="9">
        <v>106368560</v>
      </c>
      <c r="E15" s="7">
        <v>976400</v>
      </c>
      <c r="F15" s="7">
        <v>144700</v>
      </c>
      <c r="G15" s="7">
        <v>1121100</v>
      </c>
      <c r="H15" s="6">
        <v>1101400</v>
      </c>
      <c r="I15" s="5">
        <v>19700</v>
      </c>
      <c r="J15" s="5"/>
      <c r="K15" s="4">
        <v>0</v>
      </c>
      <c r="N15" s="2" t="e">
        <f ca="1"/>
        <v>#NAME?</v>
      </c>
      <c r="O15" s="1" t="e">
        <f ca="1"/>
        <v>#NAME?</v>
      </c>
      <c r="Q15" s="12"/>
    </row>
    <row r="16" spans="1:18" x14ac:dyDescent="0.25">
      <c r="A16" s="8">
        <v>62</v>
      </c>
      <c r="B16" s="9">
        <v>26102023486268</v>
      </c>
      <c r="C16" s="10" t="s">
        <v>2</v>
      </c>
      <c r="D16" s="9">
        <v>106270964</v>
      </c>
      <c r="E16" s="7">
        <v>6780400</v>
      </c>
      <c r="F16" s="7">
        <v>8914300</v>
      </c>
      <c r="G16" s="7">
        <v>15694700</v>
      </c>
      <c r="H16" s="6">
        <v>15694700</v>
      </c>
      <c r="I16" s="5"/>
      <c r="J16" s="5"/>
      <c r="K16" s="4">
        <v>0</v>
      </c>
      <c r="N16" s="2" t="e">
        <f ca="1"/>
        <v>#NAME?</v>
      </c>
      <c r="O16" s="1" t="e">
        <f ca="1"/>
        <v>#NAME?</v>
      </c>
      <c r="Q16" s="12"/>
    </row>
    <row r="17" spans="1:17" x14ac:dyDescent="0.25">
      <c r="A17" s="8">
        <v>43</v>
      </c>
      <c r="B17" s="9">
        <v>26102023486887</v>
      </c>
      <c r="C17" s="10" t="s">
        <v>2</v>
      </c>
      <c r="D17" s="9">
        <v>106360031</v>
      </c>
      <c r="E17" s="7">
        <v>267400</v>
      </c>
      <c r="F17" s="7">
        <v>54400</v>
      </c>
      <c r="G17" s="7">
        <v>321800</v>
      </c>
      <c r="H17" s="6">
        <v>318800</v>
      </c>
      <c r="I17" s="5">
        <v>3000</v>
      </c>
      <c r="J17" s="5"/>
      <c r="K17" s="4">
        <v>0</v>
      </c>
      <c r="N17" s="2" t="e">
        <f ca="1"/>
        <v>#NAME?</v>
      </c>
      <c r="O17" s="1" t="e">
        <f ca="1"/>
        <v>#NAME?</v>
      </c>
      <c r="Q17" s="12"/>
    </row>
    <row r="18" spans="1:17" x14ac:dyDescent="0.25">
      <c r="A18" s="8">
        <v>49</v>
      </c>
      <c r="B18" s="9">
        <v>26102023487148</v>
      </c>
      <c r="C18" s="10" t="s">
        <v>2</v>
      </c>
      <c r="D18" s="9">
        <v>106365614</v>
      </c>
      <c r="E18" s="7">
        <v>267400</v>
      </c>
      <c r="F18" s="7">
        <v>78500</v>
      </c>
      <c r="G18" s="7">
        <v>345900</v>
      </c>
      <c r="H18" s="6">
        <v>342900</v>
      </c>
      <c r="I18" s="5">
        <v>3000</v>
      </c>
      <c r="J18" s="5"/>
      <c r="K18" s="4">
        <v>0</v>
      </c>
      <c r="N18" s="2" t="e">
        <f ca="1"/>
        <v>#NAME?</v>
      </c>
      <c r="O18" s="1" t="e">
        <f ca="1"/>
        <v>#NAME?</v>
      </c>
      <c r="Q18" s="12"/>
    </row>
    <row r="19" spans="1:17" x14ac:dyDescent="0.25">
      <c r="A19" s="8">
        <v>56</v>
      </c>
      <c r="B19" s="9">
        <v>26102023500286</v>
      </c>
      <c r="C19" s="10" t="s">
        <v>2</v>
      </c>
      <c r="D19" s="9">
        <v>106368526</v>
      </c>
      <c r="E19" s="7">
        <v>1731400</v>
      </c>
      <c r="F19" s="7">
        <v>1607500</v>
      </c>
      <c r="G19" s="7">
        <v>3338900</v>
      </c>
      <c r="H19" s="6">
        <v>3320854</v>
      </c>
      <c r="I19" s="5">
        <v>18046</v>
      </c>
      <c r="J19" s="5"/>
      <c r="K19" s="4">
        <v>0</v>
      </c>
      <c r="N19" s="2" t="e">
        <f ca="1"/>
        <v>#NAME?</v>
      </c>
      <c r="O19" s="1" t="e">
        <f ca="1"/>
        <v>#NAME?</v>
      </c>
      <c r="Q19" s="12"/>
    </row>
    <row r="20" spans="1:17" x14ac:dyDescent="0.25">
      <c r="A20" s="8">
        <v>64</v>
      </c>
      <c r="B20" s="9">
        <v>26102023500772</v>
      </c>
      <c r="C20" s="10" t="s">
        <v>2</v>
      </c>
      <c r="D20" s="9">
        <v>106280578</v>
      </c>
      <c r="E20" s="7">
        <v>2731400</v>
      </c>
      <c r="F20" s="7">
        <v>4391700</v>
      </c>
      <c r="G20" s="7">
        <v>7123100</v>
      </c>
      <c r="H20" s="6">
        <v>7838640</v>
      </c>
      <c r="I20" s="5"/>
      <c r="J20" s="5">
        <v>715540</v>
      </c>
      <c r="K20" s="4">
        <v>0</v>
      </c>
      <c r="N20" s="2" t="e">
        <f ca="1"/>
        <v>#NAME?</v>
      </c>
      <c r="O20" s="1" t="e">
        <f ca="1"/>
        <v>#NAME?</v>
      </c>
      <c r="Q20" s="12"/>
    </row>
    <row r="21" spans="1:17" x14ac:dyDescent="0.25">
      <c r="A21" s="8">
        <v>69</v>
      </c>
      <c r="B21" s="9">
        <v>26102023500848</v>
      </c>
      <c r="C21" s="10" t="s">
        <v>2</v>
      </c>
      <c r="D21" s="9">
        <v>106358375</v>
      </c>
      <c r="E21" s="7">
        <v>3233400</v>
      </c>
      <c r="F21" s="7">
        <v>3537400</v>
      </c>
      <c r="G21" s="7">
        <v>6770800</v>
      </c>
      <c r="H21" s="6">
        <v>6751800</v>
      </c>
      <c r="I21" s="5">
        <v>19000</v>
      </c>
      <c r="J21" s="5"/>
      <c r="K21" s="4">
        <v>0</v>
      </c>
      <c r="N21" s="2" t="e">
        <f ca="1"/>
        <v>#NAME?</v>
      </c>
      <c r="O21" s="1" t="e">
        <f ca="1"/>
        <v>#NAME?</v>
      </c>
      <c r="Q21" s="12"/>
    </row>
    <row r="22" spans="1:17" x14ac:dyDescent="0.25">
      <c r="A22" s="8">
        <v>91</v>
      </c>
      <c r="B22" s="9">
        <v>26102023500878</v>
      </c>
      <c r="C22" s="10" t="s">
        <v>2</v>
      </c>
      <c r="D22" s="9">
        <v>106280669</v>
      </c>
      <c r="E22" s="7">
        <v>4551400</v>
      </c>
      <c r="F22" s="7">
        <v>5882000</v>
      </c>
      <c r="G22" s="7">
        <v>10433400</v>
      </c>
      <c r="H22" s="6">
        <v>10433400</v>
      </c>
      <c r="I22" s="5"/>
      <c r="J22" s="5"/>
      <c r="K22" s="4">
        <v>0</v>
      </c>
      <c r="N22" s="2" t="e">
        <f ca="1"/>
        <v>#NAME?</v>
      </c>
      <c r="O22" s="1" t="e">
        <f ca="1"/>
        <v>#NAME?</v>
      </c>
      <c r="Q22" s="12"/>
    </row>
    <row r="23" spans="1:17" x14ac:dyDescent="0.25">
      <c r="A23" s="8">
        <v>96</v>
      </c>
      <c r="B23" s="9">
        <v>26102023500889</v>
      </c>
      <c r="C23" s="10" t="s">
        <v>2</v>
      </c>
      <c r="D23" s="9">
        <v>106365630</v>
      </c>
      <c r="E23" s="7">
        <v>265400</v>
      </c>
      <c r="F23" s="7">
        <v>54400</v>
      </c>
      <c r="G23" s="7">
        <v>319800</v>
      </c>
      <c r="H23" s="6">
        <v>366700</v>
      </c>
      <c r="I23" s="5"/>
      <c r="J23" s="5">
        <v>46900</v>
      </c>
      <c r="K23" s="4">
        <v>0</v>
      </c>
      <c r="N23" s="2" t="e">
        <f ca="1"/>
        <v>#NAME?</v>
      </c>
      <c r="O23" s="1" t="e">
        <f ca="1"/>
        <v>#NAME?</v>
      </c>
      <c r="Q23" s="12"/>
    </row>
    <row r="24" spans="1:17" x14ac:dyDescent="0.25">
      <c r="A24" s="8">
        <v>98</v>
      </c>
      <c r="B24" s="9">
        <v>26102023501337</v>
      </c>
      <c r="C24" s="10" t="s">
        <v>2</v>
      </c>
      <c r="D24" s="9">
        <v>106381946</v>
      </c>
      <c r="E24" s="7">
        <v>2194400</v>
      </c>
      <c r="F24" s="7">
        <v>2484800</v>
      </c>
      <c r="G24" s="7">
        <v>4679200</v>
      </c>
      <c r="H24" s="6">
        <v>4649238</v>
      </c>
      <c r="I24" s="5">
        <v>29962</v>
      </c>
      <c r="J24" s="5"/>
      <c r="K24" s="4">
        <v>0</v>
      </c>
      <c r="N24" s="2" t="e">
        <f ca="1"/>
        <v>#NAME?</v>
      </c>
      <c r="O24" s="1" t="e">
        <f ca="1"/>
        <v>#NAME?</v>
      </c>
      <c r="Q24" s="12"/>
    </row>
    <row r="25" spans="1:17" x14ac:dyDescent="0.25">
      <c r="A25" s="8">
        <v>70</v>
      </c>
      <c r="B25" s="9">
        <v>26102023508294</v>
      </c>
      <c r="C25" s="10" t="s">
        <v>2</v>
      </c>
      <c r="D25" s="9">
        <v>106290508</v>
      </c>
      <c r="E25" s="7">
        <v>2564400</v>
      </c>
      <c r="F25" s="7">
        <v>2707700</v>
      </c>
      <c r="G25" s="7">
        <v>5272100</v>
      </c>
      <c r="H25" s="6">
        <v>5272100</v>
      </c>
      <c r="I25" s="5"/>
      <c r="J25" s="5"/>
      <c r="K25" s="4">
        <v>0</v>
      </c>
      <c r="N25" s="2" t="e">
        <f ca="1"/>
        <v>#NAME?</v>
      </c>
      <c r="O25" s="1" t="e">
        <f ca="1"/>
        <v>#NAME?</v>
      </c>
      <c r="Q25" s="12"/>
    </row>
    <row r="26" spans="1:17" x14ac:dyDescent="0.25">
      <c r="A26" s="8">
        <v>108</v>
      </c>
      <c r="B26" s="9">
        <v>26102023510155</v>
      </c>
      <c r="C26" s="10" t="s">
        <v>2</v>
      </c>
      <c r="D26" s="9">
        <v>106288894</v>
      </c>
      <c r="E26" s="7">
        <v>264400</v>
      </c>
      <c r="F26" s="7">
        <v>54400</v>
      </c>
      <c r="G26" s="7">
        <v>318800</v>
      </c>
      <c r="H26" s="6">
        <v>318800</v>
      </c>
      <c r="I26" s="5"/>
      <c r="J26" s="5"/>
      <c r="K26" s="4">
        <v>0</v>
      </c>
      <c r="N26" s="2" t="e">
        <f ca="1"/>
        <v>#NAME?</v>
      </c>
      <c r="O26" s="1" t="e">
        <f ca="1"/>
        <v>#NAME?</v>
      </c>
      <c r="Q26" s="12"/>
    </row>
    <row r="27" spans="1:17" x14ac:dyDescent="0.25">
      <c r="A27" s="8">
        <v>122</v>
      </c>
      <c r="B27" s="9">
        <v>26102023513756</v>
      </c>
      <c r="C27" s="10" t="s">
        <v>2</v>
      </c>
      <c r="D27" s="9">
        <v>106289323</v>
      </c>
      <c r="E27" s="7">
        <v>264400</v>
      </c>
      <c r="F27" s="7">
        <v>54400</v>
      </c>
      <c r="G27" s="7">
        <v>318800</v>
      </c>
      <c r="H27" s="6">
        <v>318800</v>
      </c>
      <c r="I27" s="5"/>
      <c r="J27" s="5"/>
      <c r="K27" s="4">
        <v>0</v>
      </c>
      <c r="N27" s="2" t="e">
        <f ca="1"/>
        <v>#NAME?</v>
      </c>
      <c r="O27" s="1" t="e">
        <f ca="1"/>
        <v>#NAME?</v>
      </c>
      <c r="Q27" s="12"/>
    </row>
    <row r="28" spans="1:17" x14ac:dyDescent="0.25">
      <c r="A28" s="8">
        <v>36</v>
      </c>
      <c r="B28" s="9">
        <v>26102023517574</v>
      </c>
      <c r="C28" s="10" t="s">
        <v>2</v>
      </c>
      <c r="D28" s="9">
        <v>106359941</v>
      </c>
      <c r="E28" s="7">
        <v>1696400</v>
      </c>
      <c r="F28" s="7">
        <v>1339200</v>
      </c>
      <c r="G28" s="7">
        <v>3035600</v>
      </c>
      <c r="H28" s="6">
        <v>3069500</v>
      </c>
      <c r="I28" s="5"/>
      <c r="J28" s="5">
        <v>33900</v>
      </c>
      <c r="K28" s="4">
        <v>0</v>
      </c>
      <c r="N28" s="2" t="e">
        <f ca="1"/>
        <v>#NAME?</v>
      </c>
      <c r="O28" s="1" t="e">
        <f ca="1"/>
        <v>#NAME?</v>
      </c>
      <c r="Q28" s="12"/>
    </row>
    <row r="29" spans="1:17" x14ac:dyDescent="0.25">
      <c r="A29" s="8">
        <v>111</v>
      </c>
      <c r="B29" s="9">
        <v>26102023526047</v>
      </c>
      <c r="C29" s="10" t="s">
        <v>2</v>
      </c>
      <c r="D29" s="9">
        <v>106299752</v>
      </c>
      <c r="E29" s="7">
        <v>2131400</v>
      </c>
      <c r="F29" s="7">
        <v>3352400</v>
      </c>
      <c r="G29" s="7">
        <v>5483800</v>
      </c>
      <c r="H29" s="6">
        <v>5483785</v>
      </c>
      <c r="I29" s="5">
        <v>15</v>
      </c>
      <c r="J29" s="5"/>
      <c r="K29" s="4">
        <v>0</v>
      </c>
      <c r="N29" s="2" t="e">
        <f ca="1"/>
        <v>#NAME?</v>
      </c>
      <c r="O29" s="1" t="e">
        <f ca="1"/>
        <v>#NAME?</v>
      </c>
      <c r="Q29" s="12"/>
    </row>
    <row r="30" spans="1:17" x14ac:dyDescent="0.25">
      <c r="A30" s="8">
        <v>52</v>
      </c>
      <c r="B30" s="9">
        <v>26102023526065</v>
      </c>
      <c r="C30" s="10" t="s">
        <v>2</v>
      </c>
      <c r="D30" s="9">
        <v>106300363</v>
      </c>
      <c r="E30" s="7">
        <v>2031400</v>
      </c>
      <c r="F30" s="7">
        <v>3430800</v>
      </c>
      <c r="G30" s="7">
        <v>5462200</v>
      </c>
      <c r="H30" s="6">
        <v>5462200</v>
      </c>
      <c r="I30" s="5"/>
      <c r="J30" s="5"/>
      <c r="K30" s="4">
        <v>0</v>
      </c>
      <c r="N30" s="2" t="e">
        <f ca="1"/>
        <v>#NAME?</v>
      </c>
      <c r="O30" s="1" t="e">
        <f ca="1"/>
        <v>#NAME?</v>
      </c>
      <c r="Q30" s="12"/>
    </row>
    <row r="31" spans="1:17" x14ac:dyDescent="0.25">
      <c r="A31" s="8">
        <v>92</v>
      </c>
      <c r="B31" s="9">
        <v>26102023526308</v>
      </c>
      <c r="C31" s="10" t="s">
        <v>2</v>
      </c>
      <c r="D31" s="9">
        <v>106301432</v>
      </c>
      <c r="E31" s="7">
        <v>4713400</v>
      </c>
      <c r="F31" s="7">
        <v>8688800</v>
      </c>
      <c r="G31" s="7">
        <v>13402200</v>
      </c>
      <c r="H31" s="6">
        <v>13402200</v>
      </c>
      <c r="I31" s="5"/>
      <c r="J31" s="5"/>
      <c r="K31" s="4">
        <v>0</v>
      </c>
      <c r="N31" s="2" t="e">
        <f ca="1"/>
        <v>#NAME?</v>
      </c>
      <c r="O31" s="1" t="e">
        <f ca="1"/>
        <v>#NAME?</v>
      </c>
      <c r="Q31" s="12"/>
    </row>
    <row r="32" spans="1:17" x14ac:dyDescent="0.25">
      <c r="A32" s="8">
        <v>157</v>
      </c>
      <c r="B32" s="9">
        <v>26102023531706</v>
      </c>
      <c r="C32" s="10" t="s">
        <v>2</v>
      </c>
      <c r="D32" s="9">
        <v>106365861</v>
      </c>
      <c r="E32" s="7">
        <v>264400</v>
      </c>
      <c r="F32" s="7">
        <v>54400</v>
      </c>
      <c r="G32" s="7">
        <v>318800</v>
      </c>
      <c r="H32" s="6">
        <v>316300</v>
      </c>
      <c r="I32" s="5">
        <v>2500</v>
      </c>
      <c r="J32" s="5"/>
      <c r="K32" s="4">
        <v>0</v>
      </c>
      <c r="N32" s="2" t="e">
        <f ca="1"/>
        <v>#NAME?</v>
      </c>
      <c r="O32" s="1" t="e">
        <f ca="1"/>
        <v>#NAME?</v>
      </c>
      <c r="Q32" s="12"/>
    </row>
    <row r="33" spans="1:17" x14ac:dyDescent="0.25">
      <c r="A33" s="8">
        <v>166</v>
      </c>
      <c r="B33" s="9">
        <v>26102023534726</v>
      </c>
      <c r="C33" s="10" t="s">
        <v>2</v>
      </c>
      <c r="D33" s="9">
        <v>106381963</v>
      </c>
      <c r="E33" s="7">
        <v>501400</v>
      </c>
      <c r="F33" s="7">
        <v>2373600</v>
      </c>
      <c r="G33" s="7">
        <v>2875000</v>
      </c>
      <c r="H33" s="6">
        <v>2871000</v>
      </c>
      <c r="I33" s="5">
        <v>4000</v>
      </c>
      <c r="J33" s="5"/>
      <c r="K33" s="4">
        <v>0</v>
      </c>
      <c r="N33" s="2" t="e">
        <f ca="1"/>
        <v>#NAME?</v>
      </c>
      <c r="O33" s="1" t="e">
        <f ca="1"/>
        <v>#NAME?</v>
      </c>
      <c r="Q33" s="12"/>
    </row>
    <row r="34" spans="1:17" x14ac:dyDescent="0.25">
      <c r="A34" s="8">
        <v>194</v>
      </c>
      <c r="B34" s="9">
        <v>26102023534810</v>
      </c>
      <c r="C34" s="10" t="s">
        <v>2</v>
      </c>
      <c r="D34" s="9">
        <v>106308080</v>
      </c>
      <c r="E34" s="7">
        <v>497400</v>
      </c>
      <c r="F34" s="7">
        <v>84500</v>
      </c>
      <c r="G34" s="7">
        <v>581900</v>
      </c>
      <c r="H34" s="6">
        <v>581900</v>
      </c>
      <c r="I34" s="5"/>
      <c r="J34" s="5"/>
      <c r="K34" s="4">
        <v>0</v>
      </c>
      <c r="N34" s="2" t="e">
        <f ca="1"/>
        <v>#NAME?</v>
      </c>
      <c r="O34" s="1" t="e">
        <f ca="1"/>
        <v>#NAME?</v>
      </c>
      <c r="Q34" s="12"/>
    </row>
    <row r="35" spans="1:17" x14ac:dyDescent="0.25">
      <c r="A35" s="8">
        <v>76</v>
      </c>
      <c r="B35" s="9">
        <v>26102023542387</v>
      </c>
      <c r="C35" s="10" t="s">
        <v>2</v>
      </c>
      <c r="D35" s="9">
        <v>106378232</v>
      </c>
      <c r="E35" s="7">
        <v>2774400</v>
      </c>
      <c r="F35" s="7">
        <v>4081700</v>
      </c>
      <c r="G35" s="7">
        <v>6856100</v>
      </c>
      <c r="H35" s="6">
        <v>6816100</v>
      </c>
      <c r="I35" s="5">
        <v>40000</v>
      </c>
      <c r="J35" s="5"/>
      <c r="K35" s="4">
        <v>0</v>
      </c>
      <c r="N35" s="2" t="e">
        <f ca="1"/>
        <v>#NAME?</v>
      </c>
      <c r="O35" s="1" t="e">
        <f ca="1"/>
        <v>#NAME?</v>
      </c>
      <c r="Q35" s="12"/>
    </row>
    <row r="36" spans="1:17" x14ac:dyDescent="0.25">
      <c r="A36" s="8">
        <v>90</v>
      </c>
      <c r="B36" s="9">
        <v>26102023542437</v>
      </c>
      <c r="C36" s="10" t="s">
        <v>2</v>
      </c>
      <c r="D36" s="9">
        <v>106378222</v>
      </c>
      <c r="E36" s="7">
        <v>2082400</v>
      </c>
      <c r="F36" s="7">
        <v>2619600</v>
      </c>
      <c r="G36" s="7">
        <v>4702000</v>
      </c>
      <c r="H36" s="6">
        <v>4674000</v>
      </c>
      <c r="I36" s="5">
        <v>28000</v>
      </c>
      <c r="J36" s="5"/>
      <c r="K36" s="4">
        <v>0</v>
      </c>
      <c r="N36" s="2" t="e">
        <f ca="1"/>
        <v>#NAME?</v>
      </c>
      <c r="O36" s="1" t="e">
        <f ca="1"/>
        <v>#NAME?</v>
      </c>
      <c r="Q36" s="12"/>
    </row>
    <row r="37" spans="1:17" x14ac:dyDescent="0.25">
      <c r="A37" s="8">
        <v>134</v>
      </c>
      <c r="B37" s="9">
        <v>26102023542463</v>
      </c>
      <c r="C37" s="10" t="s">
        <v>2</v>
      </c>
      <c r="D37" s="9">
        <v>106357841</v>
      </c>
      <c r="E37" s="7">
        <v>3716400</v>
      </c>
      <c r="F37" s="7">
        <v>6834300</v>
      </c>
      <c r="G37" s="7">
        <v>10550700</v>
      </c>
      <c r="H37" s="6">
        <v>10545853</v>
      </c>
      <c r="I37" s="5">
        <v>4847</v>
      </c>
      <c r="J37" s="5"/>
      <c r="K37" s="4">
        <v>0</v>
      </c>
      <c r="N37" s="2" t="e">
        <f ca="1"/>
        <v>#NAME?</v>
      </c>
      <c r="O37" s="1" t="e">
        <f ca="1"/>
        <v>#NAME?</v>
      </c>
      <c r="Q37" s="12"/>
    </row>
    <row r="38" spans="1:17" x14ac:dyDescent="0.25">
      <c r="A38" s="8">
        <v>79</v>
      </c>
      <c r="B38" s="9">
        <v>26102023546747</v>
      </c>
      <c r="C38" s="10" t="s">
        <v>2</v>
      </c>
      <c r="D38" s="9">
        <v>106382746</v>
      </c>
      <c r="E38" s="7">
        <v>2939400</v>
      </c>
      <c r="F38" s="7">
        <v>4129300</v>
      </c>
      <c r="G38" s="7">
        <v>7068700</v>
      </c>
      <c r="H38" s="6">
        <v>7023700</v>
      </c>
      <c r="I38" s="5">
        <v>45000</v>
      </c>
      <c r="J38" s="5"/>
      <c r="K38" s="4">
        <v>0</v>
      </c>
      <c r="N38" s="2" t="e">
        <f ca="1"/>
        <v>#NAME?</v>
      </c>
      <c r="O38" s="1" t="e">
        <f ca="1"/>
        <v>#NAME?</v>
      </c>
      <c r="Q38" s="12"/>
    </row>
    <row r="39" spans="1:17" x14ac:dyDescent="0.25">
      <c r="A39" s="8">
        <v>141</v>
      </c>
      <c r="B39" s="9">
        <v>26102023546770</v>
      </c>
      <c r="C39" s="10" t="s">
        <v>2</v>
      </c>
      <c r="D39" s="9">
        <v>106381924</v>
      </c>
      <c r="E39" s="7">
        <v>2946400</v>
      </c>
      <c r="F39" s="7">
        <v>3930000</v>
      </c>
      <c r="G39" s="7">
        <v>6876400</v>
      </c>
      <c r="H39" s="6">
        <v>6871671</v>
      </c>
      <c r="I39" s="5">
        <v>4729</v>
      </c>
      <c r="J39" s="5"/>
      <c r="K39" s="4">
        <v>0</v>
      </c>
      <c r="N39" s="2" t="e">
        <f ca="1"/>
        <v>#NAME?</v>
      </c>
      <c r="O39" s="1" t="e">
        <f ca="1"/>
        <v>#NAME?</v>
      </c>
      <c r="Q39" s="12"/>
    </row>
    <row r="40" spans="1:17" x14ac:dyDescent="0.25">
      <c r="A40" s="8">
        <v>119</v>
      </c>
      <c r="B40" s="9">
        <v>26102023546940</v>
      </c>
      <c r="C40" s="10" t="s">
        <v>2</v>
      </c>
      <c r="D40" s="9">
        <v>106321035</v>
      </c>
      <c r="E40" s="7">
        <v>7031400</v>
      </c>
      <c r="F40" s="7">
        <v>11988800</v>
      </c>
      <c r="G40" s="7">
        <v>19020200</v>
      </c>
      <c r="H40" s="6">
        <v>19020200</v>
      </c>
      <c r="I40" s="5"/>
      <c r="J40" s="5"/>
      <c r="K40" s="4">
        <v>0</v>
      </c>
      <c r="N40" s="2" t="e">
        <f ca="1"/>
        <v>#NAME?</v>
      </c>
      <c r="O40" s="1" t="e">
        <f ca="1"/>
        <v>#NAME?</v>
      </c>
      <c r="Q40" s="12"/>
    </row>
    <row r="41" spans="1:17" x14ac:dyDescent="0.25">
      <c r="A41" s="8">
        <v>135</v>
      </c>
      <c r="B41" s="9">
        <v>26102023553334</v>
      </c>
      <c r="C41" s="10" t="s">
        <v>2</v>
      </c>
      <c r="D41" s="9">
        <v>106378246</v>
      </c>
      <c r="E41" s="7">
        <v>2994400</v>
      </c>
      <c r="F41" s="7">
        <v>4435000</v>
      </c>
      <c r="G41" s="7">
        <v>7429400</v>
      </c>
      <c r="H41" s="6">
        <v>7452851</v>
      </c>
      <c r="I41" s="5"/>
      <c r="J41" s="5">
        <v>23451</v>
      </c>
      <c r="K41" s="4">
        <v>0</v>
      </c>
      <c r="N41" s="2" t="e">
        <f ca="1"/>
        <v>#NAME?</v>
      </c>
      <c r="O41" s="1" t="e">
        <f ca="1"/>
        <v>#NAME?</v>
      </c>
      <c r="Q41" s="12"/>
    </row>
    <row r="42" spans="1:17" x14ac:dyDescent="0.25">
      <c r="A42" s="8">
        <v>229</v>
      </c>
      <c r="B42" s="9">
        <v>26102023553517</v>
      </c>
      <c r="C42" s="10" t="s">
        <v>2</v>
      </c>
      <c r="D42" s="9">
        <v>106322776</v>
      </c>
      <c r="E42" s="7">
        <v>264400</v>
      </c>
      <c r="F42" s="7">
        <v>54400</v>
      </c>
      <c r="G42" s="7">
        <v>318800</v>
      </c>
      <c r="H42" s="6">
        <v>315900</v>
      </c>
      <c r="I42" s="5">
        <v>2900</v>
      </c>
      <c r="J42" s="5"/>
      <c r="K42" s="4">
        <v>0</v>
      </c>
      <c r="N42" s="2" t="e">
        <f ca="1"/>
        <v>#NAME?</v>
      </c>
      <c r="O42" s="1" t="e">
        <f ca="1"/>
        <v>#NAME?</v>
      </c>
      <c r="Q42" s="12"/>
    </row>
    <row r="43" spans="1:17" x14ac:dyDescent="0.25">
      <c r="A43" s="8">
        <v>237</v>
      </c>
      <c r="B43" s="9">
        <v>26102023553533</v>
      </c>
      <c r="C43" s="10" t="s">
        <v>2</v>
      </c>
      <c r="D43" s="9">
        <v>106394002</v>
      </c>
      <c r="E43" s="7">
        <v>1548400</v>
      </c>
      <c r="F43" s="7">
        <v>1427400</v>
      </c>
      <c r="G43" s="7">
        <v>2968800</v>
      </c>
      <c r="H43" s="6">
        <v>2968810</v>
      </c>
      <c r="I43" s="5"/>
      <c r="J43" s="5">
        <v>10</v>
      </c>
      <c r="K43" s="4">
        <v>0</v>
      </c>
      <c r="N43" s="2" t="e">
        <f ca="1"/>
        <v>#NAME?</v>
      </c>
      <c r="O43" s="1" t="e">
        <f ca="1"/>
        <v>#NAME?</v>
      </c>
      <c r="Q43" s="12"/>
    </row>
    <row r="44" spans="1:17" x14ac:dyDescent="0.25">
      <c r="A44" s="8">
        <v>222</v>
      </c>
      <c r="B44" s="9">
        <v>26102023553556</v>
      </c>
      <c r="C44" s="10" t="s">
        <v>2</v>
      </c>
      <c r="D44" s="9">
        <v>106318665</v>
      </c>
      <c r="E44" s="7">
        <v>1871400</v>
      </c>
      <c r="F44" s="7">
        <v>1734300</v>
      </c>
      <c r="G44" s="7">
        <v>3605700</v>
      </c>
      <c r="H44" s="6">
        <v>3605956</v>
      </c>
      <c r="I44" s="5"/>
      <c r="J44" s="5">
        <v>256</v>
      </c>
      <c r="K44" s="4">
        <v>0</v>
      </c>
      <c r="N44" s="2" t="e">
        <f ca="1"/>
        <v>#NAME?</v>
      </c>
      <c r="O44" s="1" t="e">
        <f ca="1"/>
        <v>#NAME?</v>
      </c>
      <c r="Q44" s="12"/>
    </row>
    <row r="45" spans="1:17" x14ac:dyDescent="0.25">
      <c r="A45" s="8">
        <v>197</v>
      </c>
      <c r="B45" s="9">
        <v>26102023558132</v>
      </c>
      <c r="C45" s="10" t="s">
        <v>2</v>
      </c>
      <c r="D45" s="9">
        <v>106327195</v>
      </c>
      <c r="E45" s="7">
        <v>264400</v>
      </c>
      <c r="F45" s="7">
        <v>54400</v>
      </c>
      <c r="G45" s="7">
        <v>318800</v>
      </c>
      <c r="H45" s="6">
        <v>318800</v>
      </c>
      <c r="I45" s="5"/>
      <c r="J45" s="5"/>
      <c r="K45" s="4">
        <v>0</v>
      </c>
      <c r="N45" s="2" t="e">
        <f ca="1"/>
        <v>#NAME?</v>
      </c>
      <c r="O45" s="1" t="e">
        <f ca="1"/>
        <v>#NAME?</v>
      </c>
      <c r="Q45" s="12"/>
    </row>
    <row r="46" spans="1:17" x14ac:dyDescent="0.25">
      <c r="A46" s="8">
        <v>238</v>
      </c>
      <c r="B46" s="9">
        <v>26102023558165</v>
      </c>
      <c r="C46" s="10" t="s">
        <v>2</v>
      </c>
      <c r="D46" s="9">
        <v>106394067</v>
      </c>
      <c r="E46" s="7">
        <v>1194400</v>
      </c>
      <c r="F46" s="7">
        <v>912900</v>
      </c>
      <c r="G46" s="7">
        <v>2101300</v>
      </c>
      <c r="H46" s="6">
        <v>2101192</v>
      </c>
      <c r="I46" s="5">
        <v>108</v>
      </c>
      <c r="J46" s="5"/>
      <c r="K46" s="4">
        <v>0</v>
      </c>
      <c r="N46" s="2" t="e">
        <f ca="1"/>
        <v>#NAME?</v>
      </c>
      <c r="O46" s="1" t="e">
        <f ca="1"/>
        <v>#NAME?</v>
      </c>
      <c r="Q46" s="12"/>
    </row>
    <row r="47" spans="1:17" x14ac:dyDescent="0.25">
      <c r="A47" s="8">
        <v>221</v>
      </c>
      <c r="B47" s="9">
        <v>26102023562747</v>
      </c>
      <c r="C47" s="10" t="s">
        <v>2</v>
      </c>
      <c r="D47" s="9">
        <v>106330093</v>
      </c>
      <c r="E47" s="7">
        <v>264400</v>
      </c>
      <c r="F47" s="7">
        <v>54400</v>
      </c>
      <c r="G47" s="7">
        <v>318800</v>
      </c>
      <c r="H47" s="6">
        <v>318800</v>
      </c>
      <c r="I47" s="5"/>
      <c r="J47" s="5"/>
      <c r="K47" s="4">
        <v>0</v>
      </c>
      <c r="N47" s="2" t="e">
        <f ca="1"/>
        <v>#NAME?</v>
      </c>
      <c r="O47" s="1" t="e">
        <f ca="1"/>
        <v>#NAME?</v>
      </c>
      <c r="Q47" s="12"/>
    </row>
    <row r="48" spans="1:17" x14ac:dyDescent="0.25">
      <c r="A48" s="8">
        <v>223</v>
      </c>
      <c r="B48" s="9">
        <v>26102023562778</v>
      </c>
      <c r="C48" s="10" t="s">
        <v>2</v>
      </c>
      <c r="D48" s="9">
        <v>106330205</v>
      </c>
      <c r="E48" s="7">
        <v>1794400</v>
      </c>
      <c r="F48" s="7">
        <v>1662800</v>
      </c>
      <c r="G48" s="7">
        <v>3457200</v>
      </c>
      <c r="H48" s="6">
        <v>3457484</v>
      </c>
      <c r="I48" s="5"/>
      <c r="J48" s="5">
        <v>284</v>
      </c>
      <c r="K48" s="4">
        <v>0</v>
      </c>
      <c r="N48" s="2" t="e">
        <f ca="1"/>
        <v>#NAME?</v>
      </c>
      <c r="O48" s="1" t="e">
        <f ca="1"/>
        <v>#NAME?</v>
      </c>
      <c r="Q48" s="12"/>
    </row>
    <row r="49" spans="1:17" x14ac:dyDescent="0.25">
      <c r="A49" s="8">
        <v>227</v>
      </c>
      <c r="B49" s="9">
        <v>26102023562856</v>
      </c>
      <c r="C49" s="10" t="s">
        <v>2</v>
      </c>
      <c r="D49" s="9">
        <v>106330446</v>
      </c>
      <c r="E49" s="7">
        <v>264400</v>
      </c>
      <c r="F49" s="7">
        <v>78500</v>
      </c>
      <c r="G49" s="7">
        <v>342900</v>
      </c>
      <c r="H49" s="6">
        <v>342900</v>
      </c>
      <c r="I49" s="5"/>
      <c r="J49" s="5"/>
      <c r="K49" s="4">
        <v>0</v>
      </c>
      <c r="N49" s="2" t="e">
        <f ca="1"/>
        <v>#NAME?</v>
      </c>
      <c r="O49" s="1" t="e">
        <f ca="1"/>
        <v>#NAME?</v>
      </c>
      <c r="Q49" s="12"/>
    </row>
    <row r="50" spans="1:17" x14ac:dyDescent="0.25">
      <c r="A50" s="8">
        <v>274</v>
      </c>
      <c r="B50" s="9">
        <v>26102023569669</v>
      </c>
      <c r="C50" s="10" t="s">
        <v>2</v>
      </c>
      <c r="D50" s="9">
        <v>106331559</v>
      </c>
      <c r="E50" s="7">
        <v>942400</v>
      </c>
      <c r="F50" s="7">
        <v>895500</v>
      </c>
      <c r="G50" s="7">
        <v>1837900</v>
      </c>
      <c r="H50" s="6">
        <v>1837900</v>
      </c>
      <c r="I50" s="5"/>
      <c r="J50" s="5"/>
      <c r="K50" s="4">
        <v>0</v>
      </c>
      <c r="N50" s="2" t="e">
        <f ca="1"/>
        <v>#NAME?</v>
      </c>
      <c r="O50" s="1" t="e">
        <f ca="1"/>
        <v>#NAME?</v>
      </c>
      <c r="Q50" s="12"/>
    </row>
    <row r="51" spans="1:17" x14ac:dyDescent="0.25">
      <c r="A51" s="8">
        <v>278</v>
      </c>
      <c r="B51" s="9">
        <v>26102023570258</v>
      </c>
      <c r="C51" s="10" t="s">
        <v>2</v>
      </c>
      <c r="D51" s="9">
        <v>106334531</v>
      </c>
      <c r="E51" s="7">
        <v>111400</v>
      </c>
      <c r="F51" s="7">
        <v>78500</v>
      </c>
      <c r="G51" s="7">
        <v>189900</v>
      </c>
      <c r="H51" s="6">
        <v>189900</v>
      </c>
      <c r="I51" s="5"/>
      <c r="J51" s="5"/>
      <c r="K51" s="4">
        <v>0</v>
      </c>
      <c r="N51" s="2" t="e">
        <f ca="1"/>
        <v>#NAME?</v>
      </c>
      <c r="O51" s="1" t="e">
        <f ca="1"/>
        <v>#NAME?</v>
      </c>
      <c r="Q51" s="12"/>
    </row>
    <row r="52" spans="1:17" x14ac:dyDescent="0.25">
      <c r="A52" s="8">
        <v>217</v>
      </c>
      <c r="B52" s="9">
        <v>26102023570340</v>
      </c>
      <c r="C52" s="10" t="s">
        <v>2</v>
      </c>
      <c r="D52" s="9">
        <v>106332865</v>
      </c>
      <c r="E52" s="7">
        <v>22964400</v>
      </c>
      <c r="F52" s="11">
        <v>51585500</v>
      </c>
      <c r="G52" s="7">
        <v>74549900</v>
      </c>
      <c r="H52" s="6">
        <v>74549900</v>
      </c>
      <c r="I52" s="5"/>
      <c r="J52" s="5"/>
      <c r="K52" s="4">
        <v>0</v>
      </c>
      <c r="N52" s="2" t="e">
        <f ca="1"/>
        <v>#NAME?</v>
      </c>
      <c r="O52" s="1" t="e">
        <f ca="1"/>
        <v>#NAME?</v>
      </c>
      <c r="Q52" s="12"/>
    </row>
    <row r="53" spans="1:17" x14ac:dyDescent="0.25">
      <c r="A53" s="8">
        <v>199</v>
      </c>
      <c r="B53" s="9">
        <v>26102023592733</v>
      </c>
      <c r="C53" s="10" t="s">
        <v>2</v>
      </c>
      <c r="D53" s="9">
        <v>106345332</v>
      </c>
      <c r="E53" s="7">
        <v>264400</v>
      </c>
      <c r="F53" s="7">
        <v>54400</v>
      </c>
      <c r="G53" s="7">
        <v>318800</v>
      </c>
      <c r="H53" s="6">
        <v>318800</v>
      </c>
      <c r="I53" s="5"/>
      <c r="J53" s="5"/>
      <c r="K53" s="4">
        <v>0</v>
      </c>
      <c r="N53" s="2" t="e">
        <f ca="1"/>
        <v>#NAME?</v>
      </c>
      <c r="O53" s="1" t="e">
        <f ca="1"/>
        <v>#NAME?</v>
      </c>
      <c r="Q53" s="12"/>
    </row>
    <row r="54" spans="1:17" x14ac:dyDescent="0.25">
      <c r="A54" s="8">
        <v>200</v>
      </c>
      <c r="B54" s="9">
        <v>26102023592780</v>
      </c>
      <c r="C54" s="10" t="s">
        <v>2</v>
      </c>
      <c r="D54" s="9">
        <v>106382014</v>
      </c>
      <c r="E54" s="7">
        <v>2864400</v>
      </c>
      <c r="F54" s="7">
        <v>4203600</v>
      </c>
      <c r="G54" s="7">
        <v>7068000</v>
      </c>
      <c r="H54" s="6">
        <v>7327700</v>
      </c>
      <c r="I54" s="5"/>
      <c r="J54" s="5">
        <v>259700</v>
      </c>
      <c r="K54" s="4">
        <v>0</v>
      </c>
      <c r="N54" s="2" t="e">
        <f ca="1"/>
        <v>#NAME?</v>
      </c>
      <c r="O54" s="1" t="e">
        <f ca="1"/>
        <v>#NAME?</v>
      </c>
      <c r="Q54" s="12"/>
    </row>
    <row r="55" spans="1:17" x14ac:dyDescent="0.25">
      <c r="A55" s="8">
        <v>204</v>
      </c>
      <c r="B55" s="9">
        <v>26102023594476</v>
      </c>
      <c r="C55" s="10" t="s">
        <v>2</v>
      </c>
      <c r="D55" s="9">
        <v>106386032</v>
      </c>
      <c r="E55" s="7">
        <v>2246400</v>
      </c>
      <c r="F55" s="7">
        <v>2599200</v>
      </c>
      <c r="G55" s="7">
        <v>4845600</v>
      </c>
      <c r="H55" s="6">
        <v>5332600</v>
      </c>
      <c r="I55" s="5"/>
      <c r="J55" s="5">
        <v>487000</v>
      </c>
      <c r="K55" s="4">
        <v>0</v>
      </c>
      <c r="N55" s="2" t="e">
        <f ca="1"/>
        <v>#NAME?</v>
      </c>
      <c r="O55" s="1" t="e">
        <f ca="1"/>
        <v>#NAME?</v>
      </c>
      <c r="Q55" s="12"/>
    </row>
    <row r="56" spans="1:17" x14ac:dyDescent="0.25">
      <c r="A56" s="8">
        <v>205</v>
      </c>
      <c r="B56" s="9">
        <v>26102023594508</v>
      </c>
      <c r="C56" s="10" t="s">
        <v>2</v>
      </c>
      <c r="D56" s="9">
        <v>106398267</v>
      </c>
      <c r="E56" s="7">
        <v>5090400</v>
      </c>
      <c r="F56" s="7">
        <v>10064600</v>
      </c>
      <c r="G56" s="7">
        <v>15110000</v>
      </c>
      <c r="H56" s="6">
        <v>16450640</v>
      </c>
      <c r="I56" s="5"/>
      <c r="J56" s="5">
        <v>1340640</v>
      </c>
      <c r="K56" s="4">
        <v>0</v>
      </c>
      <c r="N56" s="2" t="e">
        <f ca="1"/>
        <v>#NAME?</v>
      </c>
      <c r="O56" s="1" t="e">
        <f ca="1"/>
        <v>#NAME?</v>
      </c>
      <c r="Q56" s="12"/>
    </row>
    <row r="57" spans="1:17" x14ac:dyDescent="0.25">
      <c r="A57" s="8">
        <v>215</v>
      </c>
      <c r="B57" s="9">
        <v>26102023594583</v>
      </c>
      <c r="C57" s="10" t="s">
        <v>2</v>
      </c>
      <c r="D57" s="9">
        <v>106346233</v>
      </c>
      <c r="E57" s="7">
        <v>1431400</v>
      </c>
      <c r="F57" s="7">
        <v>2144800</v>
      </c>
      <c r="G57" s="7">
        <v>3576200</v>
      </c>
      <c r="H57" s="6">
        <v>3576202</v>
      </c>
      <c r="I57" s="5"/>
      <c r="J57" s="5">
        <v>2</v>
      </c>
      <c r="K57" s="4">
        <v>0</v>
      </c>
      <c r="N57" s="2" t="e">
        <f ca="1"/>
        <v>#NAME?</v>
      </c>
      <c r="O57" s="1" t="e">
        <f ca="1"/>
        <v>#NAME?</v>
      </c>
      <c r="Q57" s="12"/>
    </row>
    <row r="58" spans="1:17" x14ac:dyDescent="0.25">
      <c r="A58" s="8">
        <v>282</v>
      </c>
      <c r="B58" s="9">
        <v>26102023594892</v>
      </c>
      <c r="C58" s="10" t="s">
        <v>2</v>
      </c>
      <c r="D58" s="9">
        <v>106346259</v>
      </c>
      <c r="E58" s="7">
        <v>731400</v>
      </c>
      <c r="F58" s="7">
        <v>674800</v>
      </c>
      <c r="G58" s="7">
        <v>1406200</v>
      </c>
      <c r="H58" s="6">
        <v>1406200</v>
      </c>
      <c r="I58" s="5"/>
      <c r="J58" s="5"/>
      <c r="K58" s="4">
        <v>0</v>
      </c>
      <c r="N58" s="2" t="e">
        <f ca="1"/>
        <v>#NAME?</v>
      </c>
      <c r="O58" s="1" t="e">
        <f ca="1"/>
        <v>#NAME?</v>
      </c>
    </row>
    <row r="59" spans="1:17" x14ac:dyDescent="0.25">
      <c r="A59" s="8">
        <v>332</v>
      </c>
      <c r="B59" s="9">
        <v>26102023595278</v>
      </c>
      <c r="C59" s="10" t="s">
        <v>2</v>
      </c>
      <c r="D59" s="9">
        <v>106346756</v>
      </c>
      <c r="E59" s="7">
        <v>2931400</v>
      </c>
      <c r="F59" s="7">
        <v>3418400</v>
      </c>
      <c r="G59" s="7">
        <v>6349800</v>
      </c>
      <c r="H59" s="6">
        <v>6349800</v>
      </c>
      <c r="I59" s="5"/>
      <c r="J59" s="5"/>
      <c r="K59" s="4">
        <v>0</v>
      </c>
      <c r="N59" s="2" t="e">
        <f ca="1"/>
        <v>#NAME?</v>
      </c>
      <c r="O59" s="1" t="e">
        <f ca="1"/>
        <v>#NAME?</v>
      </c>
    </row>
    <row r="60" spans="1:17" x14ac:dyDescent="0.25">
      <c r="A60" s="8">
        <v>246</v>
      </c>
      <c r="B60" s="9">
        <v>26102023595542</v>
      </c>
      <c r="C60" s="10" t="s">
        <v>2</v>
      </c>
      <c r="D60" s="9">
        <v>106349459</v>
      </c>
      <c r="E60" s="7">
        <v>264400</v>
      </c>
      <c r="F60" s="7">
        <v>330900</v>
      </c>
      <c r="G60" s="7">
        <v>595300</v>
      </c>
      <c r="H60" s="6">
        <v>595330</v>
      </c>
      <c r="I60" s="5"/>
      <c r="J60" s="5">
        <v>30</v>
      </c>
      <c r="K60" s="4">
        <v>0</v>
      </c>
      <c r="N60" s="2" t="e">
        <f ca="1"/>
        <v>#NAME?</v>
      </c>
      <c r="O60" s="1" t="e">
        <f ca="1"/>
        <v>#NAME?</v>
      </c>
    </row>
    <row r="61" spans="1:17" x14ac:dyDescent="0.25">
      <c r="A61" s="8">
        <v>248</v>
      </c>
      <c r="B61" s="9">
        <v>26102023595594</v>
      </c>
      <c r="C61" s="10" t="s">
        <v>2</v>
      </c>
      <c r="D61" s="9">
        <v>106347214</v>
      </c>
      <c r="E61" s="7">
        <v>264400</v>
      </c>
      <c r="F61" s="7">
        <v>54400</v>
      </c>
      <c r="G61" s="7">
        <v>318800</v>
      </c>
      <c r="H61" s="6">
        <v>318800</v>
      </c>
      <c r="I61" s="5"/>
      <c r="J61" s="5"/>
      <c r="K61" s="4">
        <v>0</v>
      </c>
      <c r="N61" s="2" t="e">
        <f ca="1"/>
        <v>#NAME?</v>
      </c>
      <c r="O61" s="1" t="e">
        <f ca="1"/>
        <v>#NAME?</v>
      </c>
    </row>
    <row r="62" spans="1:17" x14ac:dyDescent="0.25">
      <c r="A62" s="8">
        <v>47</v>
      </c>
      <c r="B62" s="9">
        <v>26102023601476</v>
      </c>
      <c r="C62" s="10" t="s">
        <v>2</v>
      </c>
      <c r="D62" s="9">
        <v>106382812</v>
      </c>
      <c r="E62" s="7">
        <v>269400</v>
      </c>
      <c r="F62" s="7">
        <v>54400</v>
      </c>
      <c r="G62" s="7">
        <v>323800</v>
      </c>
      <c r="H62" s="6">
        <v>323800</v>
      </c>
      <c r="I62" s="5"/>
      <c r="J62" s="5"/>
      <c r="K62" s="4">
        <v>0</v>
      </c>
      <c r="N62" s="2" t="e">
        <f ca="1"/>
        <v>#NAME?</v>
      </c>
      <c r="O62" s="1" t="e">
        <f ca="1"/>
        <v>#NAME?</v>
      </c>
    </row>
    <row r="63" spans="1:17" x14ac:dyDescent="0.25">
      <c r="A63" s="8">
        <v>375</v>
      </c>
      <c r="B63" s="9">
        <v>26102023607251</v>
      </c>
      <c r="C63" s="10" t="s">
        <v>2</v>
      </c>
      <c r="D63" s="9">
        <v>106353458</v>
      </c>
      <c r="E63" s="7">
        <v>3031400</v>
      </c>
      <c r="F63" s="7">
        <v>3509500</v>
      </c>
      <c r="G63" s="7">
        <v>6540900</v>
      </c>
      <c r="H63" s="6">
        <v>6540900</v>
      </c>
      <c r="I63" s="5"/>
      <c r="J63" s="5"/>
      <c r="K63" s="4">
        <v>0</v>
      </c>
      <c r="N63" s="2" t="e">
        <f ca="1"/>
        <v>#NAME?</v>
      </c>
      <c r="O63" s="1" t="e">
        <f ca="1"/>
        <v>#NAME?</v>
      </c>
    </row>
    <row r="64" spans="1:17" x14ac:dyDescent="0.25">
      <c r="A64" s="8">
        <v>57</v>
      </c>
      <c r="B64" s="9">
        <v>26102023614760</v>
      </c>
      <c r="C64" s="10" t="s">
        <v>2</v>
      </c>
      <c r="D64" s="9">
        <v>106357739</v>
      </c>
      <c r="E64" s="7">
        <v>2334400</v>
      </c>
      <c r="F64" s="7">
        <v>3425600</v>
      </c>
      <c r="G64" s="7">
        <v>5760000</v>
      </c>
      <c r="H64" s="6">
        <v>5760000</v>
      </c>
      <c r="I64" s="5"/>
      <c r="J64" s="5"/>
      <c r="K64" s="4">
        <v>0</v>
      </c>
      <c r="N64" s="2" t="e">
        <f ca="1"/>
        <v>#NAME?</v>
      </c>
      <c r="O64" s="1" t="e">
        <f ca="1"/>
        <v>#NAME?</v>
      </c>
    </row>
    <row r="65" spans="1:15" x14ac:dyDescent="0.25">
      <c r="A65" s="8">
        <v>401</v>
      </c>
      <c r="B65" s="9">
        <v>26102023615340</v>
      </c>
      <c r="C65" s="10" t="s">
        <v>2</v>
      </c>
      <c r="D65" s="9">
        <v>106359775</v>
      </c>
      <c r="E65" s="7">
        <v>4996400</v>
      </c>
      <c r="F65" s="7">
        <v>5922300</v>
      </c>
      <c r="G65" s="7">
        <v>10918700</v>
      </c>
      <c r="H65" s="6">
        <v>10918700</v>
      </c>
      <c r="I65" s="5"/>
      <c r="J65" s="5"/>
      <c r="K65" s="4">
        <v>0</v>
      </c>
      <c r="N65" s="2" t="e">
        <f ca="1"/>
        <v>#NAME?</v>
      </c>
      <c r="O65" s="1" t="e">
        <f ca="1"/>
        <v>#NAME?</v>
      </c>
    </row>
    <row r="66" spans="1:15" x14ac:dyDescent="0.25">
      <c r="A66" s="8">
        <v>379</v>
      </c>
      <c r="B66" s="9">
        <v>26102023621814</v>
      </c>
      <c r="C66" s="10" t="s">
        <v>2</v>
      </c>
      <c r="D66" s="9">
        <v>106362763</v>
      </c>
      <c r="E66" s="7">
        <v>3231400</v>
      </c>
      <c r="F66" s="7">
        <v>4847700</v>
      </c>
      <c r="G66" s="7">
        <v>8079100</v>
      </c>
      <c r="H66" s="6">
        <v>8079098</v>
      </c>
      <c r="I66" s="5">
        <v>2</v>
      </c>
      <c r="J66" s="5"/>
      <c r="K66" s="4">
        <v>0</v>
      </c>
      <c r="N66" s="2" t="e">
        <f ca="1"/>
        <v>#NAME?</v>
      </c>
      <c r="O66" s="1" t="e">
        <f ca="1"/>
        <v>#NAME?</v>
      </c>
    </row>
    <row r="67" spans="1:15" x14ac:dyDescent="0.25">
      <c r="A67" s="8">
        <v>309</v>
      </c>
      <c r="B67" s="9">
        <v>26102023631744</v>
      </c>
      <c r="C67" s="10" t="s">
        <v>2</v>
      </c>
      <c r="D67" s="9">
        <v>106365613</v>
      </c>
      <c r="E67" s="7">
        <v>2954400</v>
      </c>
      <c r="F67" s="7">
        <v>4286700</v>
      </c>
      <c r="G67" s="7">
        <v>7241100</v>
      </c>
      <c r="H67" s="6">
        <v>7294320</v>
      </c>
      <c r="I67" s="5"/>
      <c r="J67" s="5">
        <v>53220</v>
      </c>
      <c r="K67" s="4">
        <v>0</v>
      </c>
      <c r="N67" s="2" t="e">
        <f ca="1"/>
        <v>#NAME?</v>
      </c>
      <c r="O67" s="1" t="e">
        <f ca="1"/>
        <v>#NAME?</v>
      </c>
    </row>
    <row r="68" spans="1:15" x14ac:dyDescent="0.25">
      <c r="A68" s="8">
        <v>423</v>
      </c>
      <c r="B68" s="9">
        <v>26102023631857</v>
      </c>
      <c r="C68" s="10" t="s">
        <v>2</v>
      </c>
      <c r="D68" s="9">
        <v>106366523</v>
      </c>
      <c r="E68" s="7">
        <v>5031400</v>
      </c>
      <c r="F68" s="7">
        <v>9334100</v>
      </c>
      <c r="G68" s="7">
        <v>14365500</v>
      </c>
      <c r="H68" s="6">
        <v>14365500</v>
      </c>
      <c r="I68" s="5"/>
      <c r="J68" s="5"/>
      <c r="K68" s="4">
        <v>0</v>
      </c>
      <c r="N68" s="2" t="e">
        <f ca="1"/>
        <v>#NAME?</v>
      </c>
      <c r="O68" s="1" t="e">
        <f ca="1"/>
        <v>#NAME?</v>
      </c>
    </row>
    <row r="69" spans="1:15" x14ac:dyDescent="0.25">
      <c r="A69" s="8">
        <v>418</v>
      </c>
      <c r="B69" s="9">
        <v>26102023636089</v>
      </c>
      <c r="C69" s="10" t="s">
        <v>2</v>
      </c>
      <c r="D69" s="9">
        <v>106368433</v>
      </c>
      <c r="E69" s="7">
        <v>11552400</v>
      </c>
      <c r="F69" s="11">
        <v>15689500</v>
      </c>
      <c r="G69" s="7">
        <v>27241900</v>
      </c>
      <c r="H69" s="6">
        <v>27242300</v>
      </c>
      <c r="I69" s="5"/>
      <c r="J69" s="5">
        <v>400</v>
      </c>
      <c r="K69" s="4">
        <v>0</v>
      </c>
      <c r="N69" s="2" t="e">
        <f ca="1"/>
        <v>#NAME?</v>
      </c>
      <c r="O69" s="1" t="e">
        <f ca="1"/>
        <v>#NAME?</v>
      </c>
    </row>
    <row r="70" spans="1:15" x14ac:dyDescent="0.25">
      <c r="A70" s="8">
        <v>434</v>
      </c>
      <c r="B70" s="9">
        <v>26102023636498</v>
      </c>
      <c r="C70" s="10" t="s">
        <v>2</v>
      </c>
      <c r="D70" s="9">
        <v>106367464</v>
      </c>
      <c r="E70" s="11">
        <v>3031400</v>
      </c>
      <c r="F70" s="7">
        <v>3509500</v>
      </c>
      <c r="G70" s="7">
        <v>6540900</v>
      </c>
      <c r="H70" s="6">
        <v>6540900</v>
      </c>
      <c r="I70" s="5"/>
      <c r="J70" s="5"/>
      <c r="K70" s="4">
        <v>0</v>
      </c>
      <c r="N70" s="2" t="e">
        <f ca="1"/>
        <v>#NAME?</v>
      </c>
      <c r="O70" s="1" t="e">
        <f ca="1"/>
        <v>#NAME?</v>
      </c>
    </row>
    <row r="71" spans="1:15" x14ac:dyDescent="0.25">
      <c r="A71" s="8">
        <v>449</v>
      </c>
      <c r="B71" s="9">
        <v>26102023639965</v>
      </c>
      <c r="C71" s="10" t="s">
        <v>2</v>
      </c>
      <c r="D71" s="9">
        <v>106369813</v>
      </c>
      <c r="E71" s="7">
        <v>2081400</v>
      </c>
      <c r="F71" s="7">
        <v>3456000</v>
      </c>
      <c r="G71" s="7">
        <v>5537400</v>
      </c>
      <c r="H71" s="6">
        <v>5815900</v>
      </c>
      <c r="I71" s="5"/>
      <c r="J71" s="5">
        <v>278500</v>
      </c>
      <c r="K71" s="4">
        <v>0</v>
      </c>
      <c r="N71" s="2" t="e">
        <f ca="1"/>
        <v>#NAME?</v>
      </c>
      <c r="O71" s="1" t="e">
        <f ca="1"/>
        <v>#NAME?</v>
      </c>
    </row>
    <row r="72" spans="1:15" x14ac:dyDescent="0.25">
      <c r="A72" s="8">
        <v>302</v>
      </c>
      <c r="B72" s="9">
        <v>26102023598085</v>
      </c>
      <c r="C72" s="10" t="s">
        <v>2</v>
      </c>
      <c r="D72" s="8">
        <v>106348429</v>
      </c>
      <c r="E72" s="7">
        <v>264400</v>
      </c>
      <c r="F72" s="7">
        <v>54400</v>
      </c>
      <c r="G72" s="7">
        <v>318800</v>
      </c>
      <c r="H72" s="6">
        <v>318800</v>
      </c>
      <c r="I72" s="5"/>
      <c r="J72" s="5"/>
      <c r="K72" s="4">
        <v>0</v>
      </c>
      <c r="N72" s="2" t="e">
        <f ca="1"/>
        <v>#NAME?</v>
      </c>
      <c r="O72" s="1" t="e">
        <f ca="1"/>
        <v>#NAME?</v>
      </c>
    </row>
    <row r="73" spans="1:15" x14ac:dyDescent="0.25">
      <c r="A73" s="8">
        <v>441</v>
      </c>
      <c r="B73" s="9">
        <v>26102023651465</v>
      </c>
      <c r="C73" s="10" t="s">
        <v>2</v>
      </c>
      <c r="D73" s="8">
        <v>106375144</v>
      </c>
      <c r="E73" s="7">
        <v>497400</v>
      </c>
      <c r="F73" s="7">
        <v>84500</v>
      </c>
      <c r="G73" s="7">
        <v>581900</v>
      </c>
      <c r="H73" s="6">
        <v>581900</v>
      </c>
      <c r="I73" s="5"/>
      <c r="J73" s="5"/>
      <c r="K73" s="4">
        <v>0</v>
      </c>
      <c r="N73" s="2" t="e">
        <f ca="1"/>
        <v>#NAME?</v>
      </c>
      <c r="O73" s="1" t="e">
        <f ca="1"/>
        <v>#NAME?</v>
      </c>
    </row>
    <row r="74" spans="1:15" x14ac:dyDescent="0.25">
      <c r="A74" s="8">
        <v>554</v>
      </c>
      <c r="B74" s="9">
        <v>26102023655652</v>
      </c>
      <c r="C74" s="10" t="s">
        <v>2</v>
      </c>
      <c r="D74" s="8">
        <v>156353578</v>
      </c>
      <c r="E74" s="7">
        <v>317300</v>
      </c>
      <c r="F74" s="7">
        <v>54400</v>
      </c>
      <c r="G74" s="7">
        <v>371700</v>
      </c>
      <c r="H74" s="6">
        <v>318800</v>
      </c>
      <c r="I74" s="5">
        <v>52900</v>
      </c>
      <c r="J74" s="5"/>
      <c r="K74" s="4">
        <v>0</v>
      </c>
      <c r="N74" s="2" t="e">
        <f ca="1"/>
        <v>#NAME?</v>
      </c>
      <c r="O74" s="1" t="e">
        <f ca="1"/>
        <v>#NAME?</v>
      </c>
    </row>
    <row r="75" spans="1:15" x14ac:dyDescent="0.25">
      <c r="A75" s="8">
        <v>519</v>
      </c>
      <c r="B75" s="9">
        <v>26102023669971</v>
      </c>
      <c r="C75" s="10" t="s">
        <v>2</v>
      </c>
      <c r="D75" s="8">
        <v>106385091</v>
      </c>
      <c r="E75" s="7">
        <v>5124400</v>
      </c>
      <c r="F75" s="7">
        <v>6948700</v>
      </c>
      <c r="G75" s="7">
        <v>12073100</v>
      </c>
      <c r="H75" s="6">
        <v>12072897</v>
      </c>
      <c r="I75" s="5">
        <v>203</v>
      </c>
      <c r="J75" s="5"/>
      <c r="K75" s="4">
        <v>0</v>
      </c>
      <c r="N75" s="2" t="e">
        <f ca="1"/>
        <v>#NAME?</v>
      </c>
      <c r="O75" s="1" t="e">
        <f ca="1"/>
        <v>#NAME?</v>
      </c>
    </row>
    <row r="76" spans="1:15" x14ac:dyDescent="0.25">
      <c r="A76" s="8">
        <v>537</v>
      </c>
      <c r="B76" s="9">
        <v>26102023672562</v>
      </c>
      <c r="C76" s="10" t="s">
        <v>2</v>
      </c>
      <c r="D76" s="8">
        <v>106387250</v>
      </c>
      <c r="E76" s="7">
        <v>4331400</v>
      </c>
      <c r="F76" s="7">
        <v>7973300</v>
      </c>
      <c r="G76" s="7">
        <v>12304700</v>
      </c>
      <c r="H76" s="6">
        <v>12304700</v>
      </c>
      <c r="I76" s="5" t="s">
        <v>0</v>
      </c>
      <c r="J76" s="5" t="s">
        <v>0</v>
      </c>
      <c r="K76" s="4">
        <v>0</v>
      </c>
      <c r="N76" s="2" t="e">
        <f ca="1"/>
        <v>#NAME?</v>
      </c>
      <c r="O76" s="1" t="e">
        <f ca="1"/>
        <v>#NAME?</v>
      </c>
    </row>
    <row r="77" spans="1:15" x14ac:dyDescent="0.25">
      <c r="A77" s="8">
        <v>569</v>
      </c>
      <c r="B77" s="9">
        <v>26102023672596</v>
      </c>
      <c r="C77" s="10" t="s">
        <v>2</v>
      </c>
      <c r="D77" s="8">
        <v>106386275</v>
      </c>
      <c r="E77" s="7">
        <v>1231400</v>
      </c>
      <c r="F77" s="7">
        <v>1139400</v>
      </c>
      <c r="G77" s="7">
        <v>2370800</v>
      </c>
      <c r="H77" s="6">
        <v>2370800</v>
      </c>
      <c r="I77" s="5" t="s">
        <v>0</v>
      </c>
      <c r="J77" s="5" t="s">
        <v>0</v>
      </c>
      <c r="K77" s="4">
        <v>0</v>
      </c>
      <c r="N77" s="2" t="e">
        <f ca="1"/>
        <v>#NAME?</v>
      </c>
      <c r="O77" s="1" t="e">
        <f ca="1"/>
        <v>#NAME?</v>
      </c>
    </row>
    <row r="78" spans="1:15" x14ac:dyDescent="0.25">
      <c r="A78" s="8">
        <v>570</v>
      </c>
      <c r="B78" s="9">
        <v>26102023675958</v>
      </c>
      <c r="C78" s="10" t="s">
        <v>2</v>
      </c>
      <c r="D78" s="8">
        <v>106388255</v>
      </c>
      <c r="E78" s="7">
        <v>1980400</v>
      </c>
      <c r="F78" s="7">
        <v>1216000</v>
      </c>
      <c r="G78" s="7">
        <v>3196400</v>
      </c>
      <c r="H78" s="6">
        <v>3256550</v>
      </c>
      <c r="I78" s="5" t="s">
        <v>0</v>
      </c>
      <c r="J78" s="5">
        <v>60150</v>
      </c>
      <c r="K78" s="4">
        <v>0</v>
      </c>
      <c r="N78" s="2" t="e">
        <f ca="1"/>
        <v>#NAME?</v>
      </c>
      <c r="O78" s="1" t="e">
        <f ca="1"/>
        <v>#NAME?</v>
      </c>
    </row>
    <row r="79" spans="1:15" x14ac:dyDescent="0.25">
      <c r="A79" s="8">
        <v>603</v>
      </c>
      <c r="B79" s="9">
        <v>26102023675465</v>
      </c>
      <c r="C79" s="10" t="s">
        <v>2</v>
      </c>
      <c r="D79" s="8">
        <v>106387698</v>
      </c>
      <c r="E79" s="7">
        <v>264400</v>
      </c>
      <c r="F79" s="7">
        <v>54400</v>
      </c>
      <c r="G79" s="7">
        <v>318800</v>
      </c>
      <c r="H79" s="6">
        <v>318800</v>
      </c>
      <c r="I79" s="5" t="s">
        <v>0</v>
      </c>
      <c r="J79" s="5" t="s">
        <v>0</v>
      </c>
      <c r="K79" s="4">
        <v>0</v>
      </c>
      <c r="N79" s="2" t="e">
        <f ca="1"/>
        <v>#NAME?</v>
      </c>
      <c r="O79" s="1" t="e">
        <f ca="1"/>
        <v>#NAME?</v>
      </c>
    </row>
    <row r="80" spans="1:15" x14ac:dyDescent="0.25">
      <c r="A80" s="8">
        <v>610</v>
      </c>
      <c r="B80" s="9">
        <v>26102023675505</v>
      </c>
      <c r="C80" s="10" t="s">
        <v>2</v>
      </c>
      <c r="D80" s="8">
        <v>106388560</v>
      </c>
      <c r="E80" s="7">
        <v>264400</v>
      </c>
      <c r="F80" s="7">
        <v>54400</v>
      </c>
      <c r="G80" s="7">
        <v>318800</v>
      </c>
      <c r="H80" s="6">
        <v>318800</v>
      </c>
      <c r="I80" s="5" t="s">
        <v>0</v>
      </c>
      <c r="J80" s="5" t="s">
        <v>0</v>
      </c>
      <c r="K80" s="4">
        <v>0</v>
      </c>
      <c r="N80" s="2" t="e">
        <f ca="1"/>
        <v>#NAME?</v>
      </c>
      <c r="O80" s="1" t="e">
        <f ca="1"/>
        <v>#NAME?</v>
      </c>
    </row>
    <row r="81" spans="1:15" x14ac:dyDescent="0.25">
      <c r="A81" s="8">
        <v>525</v>
      </c>
      <c r="B81" s="9">
        <v>26102023675740</v>
      </c>
      <c r="C81" s="10" t="s">
        <v>2</v>
      </c>
      <c r="D81" s="8">
        <v>106388825</v>
      </c>
      <c r="E81" s="7">
        <v>2934400</v>
      </c>
      <c r="F81" s="7">
        <v>4120100</v>
      </c>
      <c r="G81" s="7">
        <v>7054500</v>
      </c>
      <c r="H81" s="6">
        <v>7042112</v>
      </c>
      <c r="I81" s="5">
        <v>12388</v>
      </c>
      <c r="J81" s="5" t="s">
        <v>0</v>
      </c>
      <c r="K81" s="4">
        <v>0</v>
      </c>
      <c r="N81" s="2" t="e">
        <f ca="1"/>
        <v>#NAME?</v>
      </c>
      <c r="O81" s="1" t="e">
        <f ca="1"/>
        <v>#NAME?</v>
      </c>
    </row>
    <row r="82" spans="1:15" x14ac:dyDescent="0.25">
      <c r="A82" s="8">
        <v>506</v>
      </c>
      <c r="B82" s="9">
        <v>26102023691425</v>
      </c>
      <c r="C82" s="10" t="s">
        <v>2</v>
      </c>
      <c r="D82" s="8">
        <v>10004639381</v>
      </c>
      <c r="E82" s="7">
        <v>2033000</v>
      </c>
      <c r="F82" s="7">
        <v>1751100</v>
      </c>
      <c r="G82" s="7">
        <v>3784100</v>
      </c>
      <c r="H82" s="6">
        <v>3784100</v>
      </c>
      <c r="I82" s="5" t="s">
        <v>0</v>
      </c>
      <c r="J82" s="5" t="s">
        <v>0</v>
      </c>
      <c r="K82" s="4">
        <v>0</v>
      </c>
      <c r="N82" s="2" t="e">
        <f ca="1"/>
        <v>#NAME?</v>
      </c>
      <c r="O82" s="1" t="e">
        <f ca="1"/>
        <v>#NAME?</v>
      </c>
    </row>
    <row r="83" spans="1:15" x14ac:dyDescent="0.25">
      <c r="A83" s="8">
        <v>607</v>
      </c>
      <c r="B83" s="9">
        <v>26102023710496</v>
      </c>
      <c r="C83" s="10" t="s">
        <v>2</v>
      </c>
      <c r="D83" s="8">
        <v>106404584</v>
      </c>
      <c r="E83" s="7">
        <v>1031400</v>
      </c>
      <c r="F83" s="7">
        <v>1408800</v>
      </c>
      <c r="G83" s="7">
        <v>2440200</v>
      </c>
      <c r="H83" s="6">
        <v>2659700</v>
      </c>
      <c r="I83" s="5" t="s">
        <v>0</v>
      </c>
      <c r="J83" s="5">
        <v>219500</v>
      </c>
      <c r="K83" s="4">
        <v>0</v>
      </c>
      <c r="N83" s="2" t="e">
        <f ca="1"/>
        <v>#NAME?</v>
      </c>
      <c r="O83" s="1" t="e">
        <f ca="1"/>
        <v>#NAME?</v>
      </c>
    </row>
    <row r="84" spans="1:15" x14ac:dyDescent="0.25">
      <c r="A84" s="8">
        <v>665</v>
      </c>
      <c r="B84" s="9">
        <v>26102023711694</v>
      </c>
      <c r="C84" s="10" t="s">
        <v>2</v>
      </c>
      <c r="D84" s="8">
        <v>106405222</v>
      </c>
      <c r="E84" s="7">
        <v>1961400</v>
      </c>
      <c r="F84" s="7">
        <v>3672500</v>
      </c>
      <c r="G84" s="7">
        <v>5633900</v>
      </c>
      <c r="H84" s="6">
        <v>5658260</v>
      </c>
      <c r="I84" s="5" t="s">
        <v>0</v>
      </c>
      <c r="J84" s="5">
        <v>24360</v>
      </c>
      <c r="K84" s="4">
        <v>0</v>
      </c>
      <c r="N84" s="2" t="e">
        <f ca="1"/>
        <v>#NAME?</v>
      </c>
      <c r="O84" s="1" t="e">
        <f ca="1"/>
        <v>#NAME?</v>
      </c>
    </row>
    <row r="85" spans="1:15" x14ac:dyDescent="0.25">
      <c r="A85" s="8">
        <v>698</v>
      </c>
      <c r="B85" s="9">
        <v>26102023718097</v>
      </c>
      <c r="C85" s="10" t="s">
        <v>2</v>
      </c>
      <c r="D85" s="8">
        <v>106408288</v>
      </c>
      <c r="E85" s="7">
        <v>2831400</v>
      </c>
      <c r="F85" s="7">
        <v>3254400</v>
      </c>
      <c r="G85" s="7">
        <v>6085800</v>
      </c>
      <c r="H85" s="6">
        <v>6085800</v>
      </c>
      <c r="I85" s="5" t="s">
        <v>0</v>
      </c>
      <c r="J85" s="5" t="s">
        <v>0</v>
      </c>
      <c r="K85" s="4">
        <v>0</v>
      </c>
      <c r="N85" s="2" t="e">
        <f ca="1"/>
        <v>#NAME?</v>
      </c>
      <c r="O85" s="1" t="e">
        <f ca="1"/>
        <v>#NAME?</v>
      </c>
    </row>
    <row r="86" spans="1:15" x14ac:dyDescent="0.25">
      <c r="A86" s="8">
        <v>753</v>
      </c>
      <c r="B86" s="9">
        <v>26102023728468</v>
      </c>
      <c r="C86" s="10" t="s">
        <v>1</v>
      </c>
      <c r="D86" s="8">
        <v>106413134</v>
      </c>
      <c r="E86" s="7">
        <v>264400</v>
      </c>
      <c r="F86" s="7">
        <v>54400</v>
      </c>
      <c r="G86" s="7">
        <v>318800</v>
      </c>
      <c r="H86" s="6">
        <v>352900</v>
      </c>
      <c r="I86" s="5" t="s">
        <v>0</v>
      </c>
      <c r="J86" s="5">
        <v>34100</v>
      </c>
      <c r="K86" s="4">
        <v>0</v>
      </c>
      <c r="N86" s="2" t="e">
        <f ca="1"/>
        <v>#NAME?</v>
      </c>
      <c r="O86" s="1" t="e">
        <f ca="1"/>
        <v>#NAME?</v>
      </c>
    </row>
    <row r="87" spans="1:15" x14ac:dyDescent="0.25">
      <c r="A87" s="8">
        <v>739</v>
      </c>
      <c r="B87" s="9">
        <v>26102023734849</v>
      </c>
      <c r="C87" s="10" t="s">
        <v>1</v>
      </c>
      <c r="D87" s="8">
        <v>106416245</v>
      </c>
      <c r="E87" s="7">
        <v>730400</v>
      </c>
      <c r="F87" s="7">
        <v>114600</v>
      </c>
      <c r="G87" s="7">
        <v>845000</v>
      </c>
      <c r="H87" s="6">
        <v>845000</v>
      </c>
      <c r="I87" s="5" t="s">
        <v>0</v>
      </c>
      <c r="J87" s="5" t="s">
        <v>0</v>
      </c>
      <c r="K87" s="4">
        <v>0</v>
      </c>
      <c r="N87" s="2" t="e">
        <f ca="1"/>
        <v>#NAME?</v>
      </c>
      <c r="O87" s="1" t="e">
        <f ca="1"/>
        <v>#NAME?</v>
      </c>
    </row>
    <row r="88" spans="1:15" x14ac:dyDescent="0.25">
      <c r="A88" s="8">
        <v>171</v>
      </c>
      <c r="B88" s="9">
        <v>26102023526472</v>
      </c>
      <c r="C88" s="10" t="s">
        <v>2</v>
      </c>
      <c r="D88" s="9">
        <v>106299230</v>
      </c>
      <c r="E88" s="7">
        <v>264400</v>
      </c>
      <c r="F88" s="7">
        <v>54400</v>
      </c>
      <c r="G88" s="7">
        <v>318800</v>
      </c>
      <c r="H88" s="6">
        <v>318800</v>
      </c>
      <c r="I88" s="5"/>
      <c r="J88" s="5"/>
      <c r="K88" s="4">
        <v>3046463506</v>
      </c>
      <c r="N88" s="2" t="e">
        <f ca="1"/>
        <v>#NAME?</v>
      </c>
      <c r="O88" s="1" t="e">
        <f ca="1"/>
        <v>#NAME?</v>
      </c>
    </row>
    <row r="89" spans="1:15" x14ac:dyDescent="0.25">
      <c r="A89" s="8">
        <v>44</v>
      </c>
      <c r="B89" s="9">
        <v>26102023486931</v>
      </c>
      <c r="C89" s="10" t="s">
        <v>2</v>
      </c>
      <c r="D89" s="13">
        <v>5.0100646973418202E+17</v>
      </c>
      <c r="E89" s="7">
        <v>236000</v>
      </c>
      <c r="F89" s="7">
        <v>78500</v>
      </c>
      <c r="G89" s="7">
        <v>314500</v>
      </c>
      <c r="H89" s="6">
        <v>339200</v>
      </c>
      <c r="I89" s="5"/>
      <c r="J89" s="5">
        <v>24700</v>
      </c>
      <c r="K89" s="4">
        <v>5.0100646973418202E+17</v>
      </c>
      <c r="N89" s="2" t="e">
        <f ca="1"/>
        <v>#NAME?</v>
      </c>
      <c r="O89" s="1" t="e">
        <f ca="1"/>
        <v>#NAME?</v>
      </c>
    </row>
    <row r="90" spans="1:15" x14ac:dyDescent="0.25">
      <c r="A90" s="8">
        <v>73</v>
      </c>
      <c r="B90" s="9">
        <v>26102023552774</v>
      </c>
      <c r="C90" s="10" t="s">
        <v>2</v>
      </c>
      <c r="D90" s="9">
        <v>106318524</v>
      </c>
      <c r="E90" s="7">
        <v>3231400</v>
      </c>
      <c r="F90" s="7">
        <v>3715900</v>
      </c>
      <c r="G90" s="7">
        <v>6947300</v>
      </c>
      <c r="H90" s="6">
        <v>7168100</v>
      </c>
      <c r="I90" s="5"/>
      <c r="J90" s="5">
        <v>220800</v>
      </c>
      <c r="K90" s="4" t="s">
        <v>8</v>
      </c>
      <c r="N90" s="2" t="e">
        <f ca="1"/>
        <v>#NAME?</v>
      </c>
      <c r="O90" s="1" t="e">
        <f ca="1"/>
        <v>#NAME?</v>
      </c>
    </row>
    <row r="91" spans="1:15" x14ac:dyDescent="0.25">
      <c r="A91" s="8">
        <v>148</v>
      </c>
      <c r="B91" s="9">
        <v>26102023531676</v>
      </c>
      <c r="C91" s="10" t="s">
        <v>2</v>
      </c>
      <c r="D91" s="9">
        <v>106303359</v>
      </c>
      <c r="E91" s="7">
        <v>2781400</v>
      </c>
      <c r="F91" s="7">
        <v>4359400</v>
      </c>
      <c r="G91" s="7">
        <v>7140800</v>
      </c>
      <c r="H91" s="6">
        <v>7628600</v>
      </c>
      <c r="I91" s="5"/>
      <c r="J91" s="5">
        <v>487800</v>
      </c>
      <c r="K91" s="4" t="s">
        <v>5</v>
      </c>
      <c r="N91" s="2" t="e">
        <f ca="1"/>
        <v>#NAME?</v>
      </c>
      <c r="O91" s="1" t="e">
        <f ca="1"/>
        <v>#NAME?</v>
      </c>
    </row>
    <row r="92" spans="1:15" x14ac:dyDescent="0.25">
      <c r="A92" s="8">
        <v>172</v>
      </c>
      <c r="B92" s="9">
        <v>26102023531808</v>
      </c>
      <c r="C92" s="10" t="s">
        <v>2</v>
      </c>
      <c r="D92" s="9">
        <v>106301398</v>
      </c>
      <c r="E92" s="7">
        <v>1281400</v>
      </c>
      <c r="F92" s="7">
        <v>1210200</v>
      </c>
      <c r="G92" s="7">
        <v>2491600</v>
      </c>
      <c r="H92" s="6">
        <v>2515850</v>
      </c>
      <c r="I92" s="5"/>
      <c r="J92" s="5">
        <v>24250</v>
      </c>
      <c r="K92" s="4" t="s">
        <v>5</v>
      </c>
      <c r="N92" s="2" t="e">
        <f ca="1"/>
        <v>#NAME?</v>
      </c>
      <c r="O92" s="1" t="e">
        <f ca="1"/>
        <v>#NAME?</v>
      </c>
    </row>
    <row r="93" spans="1:15" x14ac:dyDescent="0.25">
      <c r="A93" s="8">
        <v>253</v>
      </c>
      <c r="B93" s="9">
        <v>26102023594598</v>
      </c>
      <c r="C93" s="10" t="s">
        <v>2</v>
      </c>
      <c r="D93" s="9">
        <v>106346881</v>
      </c>
      <c r="E93" s="7">
        <v>6714400</v>
      </c>
      <c r="F93" s="7">
        <v>11428600</v>
      </c>
      <c r="G93" s="7">
        <v>18143000</v>
      </c>
      <c r="H93" s="6">
        <v>19283325</v>
      </c>
      <c r="I93" s="5"/>
      <c r="J93" s="5">
        <v>1140325</v>
      </c>
      <c r="K93" s="4" t="s">
        <v>6</v>
      </c>
    </row>
    <row r="94" spans="1:15" x14ac:dyDescent="0.25">
      <c r="A94" s="8">
        <v>264</v>
      </c>
      <c r="B94" s="9">
        <v>26102023594675</v>
      </c>
      <c r="C94" s="10" t="s">
        <v>2</v>
      </c>
      <c r="D94" s="9">
        <v>106346201</v>
      </c>
      <c r="E94" s="7">
        <v>8264400</v>
      </c>
      <c r="F94" s="7">
        <v>10956000</v>
      </c>
      <c r="G94" s="7">
        <v>19220400</v>
      </c>
      <c r="H94" s="6">
        <v>19269000</v>
      </c>
      <c r="I94" s="5"/>
      <c r="J94" s="5">
        <v>48600</v>
      </c>
      <c r="K94" s="4" t="s">
        <v>6</v>
      </c>
    </row>
    <row r="95" spans="1:15" x14ac:dyDescent="0.25">
      <c r="A95" s="8">
        <v>403</v>
      </c>
      <c r="B95" s="9">
        <v>26102023636045</v>
      </c>
      <c r="C95" s="10" t="s">
        <v>2</v>
      </c>
      <c r="D95" s="9">
        <v>106368122</v>
      </c>
      <c r="E95" s="7">
        <v>2147400</v>
      </c>
      <c r="F95" s="7">
        <v>1617800</v>
      </c>
      <c r="G95" s="7">
        <v>3765200</v>
      </c>
      <c r="H95" s="6">
        <v>3789450</v>
      </c>
      <c r="I95" s="5"/>
      <c r="J95" s="5">
        <v>24250</v>
      </c>
      <c r="K95" s="4" t="s">
        <v>6</v>
      </c>
    </row>
    <row r="96" spans="1:15" x14ac:dyDescent="0.25">
      <c r="A96" s="8">
        <v>424</v>
      </c>
      <c r="B96" s="9">
        <v>26102023640913</v>
      </c>
      <c r="C96" s="10" t="s">
        <v>2</v>
      </c>
      <c r="D96" s="9">
        <v>106371105</v>
      </c>
      <c r="E96" s="7">
        <v>2088400</v>
      </c>
      <c r="F96" s="7">
        <v>3333200</v>
      </c>
      <c r="G96" s="7">
        <v>5822900</v>
      </c>
      <c r="H96" s="6">
        <v>5846817</v>
      </c>
      <c r="I96" s="5"/>
      <c r="J96" s="5">
        <v>23917</v>
      </c>
      <c r="K96" s="4" t="s">
        <v>5</v>
      </c>
    </row>
    <row r="97" spans="1:11" x14ac:dyDescent="0.25">
      <c r="A97" s="8">
        <v>475</v>
      </c>
      <c r="B97" s="9">
        <v>26102023641074</v>
      </c>
      <c r="C97" s="10" t="s">
        <v>2</v>
      </c>
      <c r="D97" s="9">
        <v>106371169</v>
      </c>
      <c r="E97" s="7">
        <v>3481400</v>
      </c>
      <c r="F97" s="7">
        <v>6432700</v>
      </c>
      <c r="G97" s="7">
        <v>9914100</v>
      </c>
      <c r="H97" s="6">
        <v>10798465</v>
      </c>
      <c r="I97" s="5"/>
      <c r="J97" s="5">
        <v>884365</v>
      </c>
      <c r="K97" s="4" t="s">
        <v>5</v>
      </c>
    </row>
    <row r="98" spans="1:11" x14ac:dyDescent="0.25">
      <c r="A98" s="8">
        <v>573</v>
      </c>
      <c r="B98" s="9">
        <v>26102023710429</v>
      </c>
      <c r="C98" s="10" t="s">
        <v>2</v>
      </c>
      <c r="D98" s="8">
        <v>106404711</v>
      </c>
      <c r="E98" s="7">
        <v>3681400</v>
      </c>
      <c r="F98" s="7">
        <v>4763900</v>
      </c>
      <c r="G98" s="7">
        <v>8445300</v>
      </c>
      <c r="H98" s="6">
        <v>8518200</v>
      </c>
      <c r="I98" s="5" t="s">
        <v>0</v>
      </c>
      <c r="J98" s="5">
        <v>72900</v>
      </c>
      <c r="K98" s="4" t="s">
        <v>3</v>
      </c>
    </row>
    <row r="99" spans="1:11" x14ac:dyDescent="0.25">
      <c r="A99" s="8">
        <v>592</v>
      </c>
      <c r="B99" s="9">
        <v>26102023710467</v>
      </c>
      <c r="C99" s="10" t="s">
        <v>2</v>
      </c>
      <c r="D99" s="8">
        <v>106405853</v>
      </c>
      <c r="E99" s="7">
        <v>1531400</v>
      </c>
      <c r="F99" s="7">
        <v>1938500</v>
      </c>
      <c r="G99" s="7">
        <v>3469900</v>
      </c>
      <c r="H99" s="6">
        <v>3692900</v>
      </c>
      <c r="I99" s="5" t="s">
        <v>0</v>
      </c>
      <c r="J99" s="5">
        <v>223000</v>
      </c>
      <c r="K99" s="4" t="s">
        <v>3</v>
      </c>
    </row>
    <row r="100" spans="1:11" x14ac:dyDescent="0.25">
      <c r="A100" s="8">
        <v>608</v>
      </c>
      <c r="B100" s="9">
        <v>26102023710753</v>
      </c>
      <c r="C100" s="10" t="s">
        <v>2</v>
      </c>
      <c r="D100" s="8">
        <v>106404857</v>
      </c>
      <c r="E100" s="7">
        <v>2131400</v>
      </c>
      <c r="F100" s="7">
        <v>3403000</v>
      </c>
      <c r="G100" s="7">
        <v>5534400</v>
      </c>
      <c r="H100" s="6">
        <v>5968600</v>
      </c>
      <c r="I100" s="5" t="s">
        <v>0</v>
      </c>
      <c r="J100" s="5">
        <v>434200</v>
      </c>
      <c r="K100" s="4" t="s">
        <v>3</v>
      </c>
    </row>
    <row r="101" spans="1:11" x14ac:dyDescent="0.25">
      <c r="A101" s="8">
        <v>574</v>
      </c>
      <c r="B101" s="9">
        <v>26102023711287</v>
      </c>
      <c r="C101" s="10" t="s">
        <v>2</v>
      </c>
      <c r="D101" s="8">
        <v>106405012</v>
      </c>
      <c r="E101" s="7">
        <v>4831400</v>
      </c>
      <c r="F101" s="7">
        <v>9264700</v>
      </c>
      <c r="G101" s="7">
        <v>14096100</v>
      </c>
      <c r="H101" s="6">
        <v>15464500</v>
      </c>
      <c r="I101" s="5" t="s">
        <v>0</v>
      </c>
      <c r="J101" s="5">
        <v>1368400</v>
      </c>
      <c r="K101" s="4" t="s">
        <v>3</v>
      </c>
    </row>
    <row r="102" spans="1:11" x14ac:dyDescent="0.25">
      <c r="A102" s="8">
        <v>628</v>
      </c>
      <c r="B102" s="9">
        <v>26102023716879</v>
      </c>
      <c r="C102" s="10" t="s">
        <v>2</v>
      </c>
      <c r="D102" s="8">
        <v>106407918</v>
      </c>
      <c r="E102" s="7">
        <v>2711400</v>
      </c>
      <c r="F102" s="7">
        <v>4286900</v>
      </c>
      <c r="G102" s="7">
        <v>6998300</v>
      </c>
      <c r="H102" s="6">
        <v>7524280</v>
      </c>
      <c r="I102" s="5" t="s">
        <v>0</v>
      </c>
      <c r="J102" s="5">
        <v>525980</v>
      </c>
      <c r="K102" s="4" t="s">
        <v>3</v>
      </c>
    </row>
    <row r="103" spans="1:11" x14ac:dyDescent="0.25">
      <c r="A103" s="8">
        <v>145</v>
      </c>
      <c r="B103" s="9">
        <v>26102023518101</v>
      </c>
      <c r="C103" s="10" t="s">
        <v>2</v>
      </c>
      <c r="D103" s="9">
        <v>1260520289</v>
      </c>
      <c r="E103" s="7">
        <v>2995000</v>
      </c>
      <c r="F103" s="7">
        <v>3335500</v>
      </c>
      <c r="G103" s="7">
        <v>6330500</v>
      </c>
      <c r="H103" s="6">
        <v>6330500</v>
      </c>
      <c r="I103" s="5"/>
      <c r="J103" s="5"/>
      <c r="K103" s="4" t="s">
        <v>7</v>
      </c>
    </row>
    <row r="104" spans="1:11" x14ac:dyDescent="0.25">
      <c r="A104" s="8">
        <v>58</v>
      </c>
      <c r="B104" s="9">
        <v>26102023475733</v>
      </c>
      <c r="C104" s="10" t="s">
        <v>1</v>
      </c>
      <c r="D104" s="9"/>
      <c r="E104" s="7">
        <v>266400</v>
      </c>
      <c r="F104" s="7">
        <v>54400</v>
      </c>
      <c r="G104" s="7">
        <v>320800</v>
      </c>
      <c r="H104" s="6">
        <v>271800</v>
      </c>
      <c r="I104" s="5">
        <v>49000</v>
      </c>
      <c r="J104" s="5"/>
      <c r="K104" s="4" t="s">
        <v>4</v>
      </c>
    </row>
    <row r="105" spans="1:11" x14ac:dyDescent="0.25">
      <c r="A105" s="8">
        <v>101</v>
      </c>
      <c r="B105" s="9">
        <v>26102023501310</v>
      </c>
      <c r="C105" s="10" t="s">
        <v>1</v>
      </c>
      <c r="D105" s="9"/>
      <c r="E105" s="7">
        <v>3581400</v>
      </c>
      <c r="F105" s="7">
        <v>4586800</v>
      </c>
      <c r="G105" s="7">
        <v>8168200</v>
      </c>
      <c r="H105" s="6">
        <v>7946150</v>
      </c>
      <c r="I105" s="5">
        <v>222050</v>
      </c>
      <c r="J105" s="5"/>
      <c r="K105" s="4" t="s">
        <v>4</v>
      </c>
    </row>
    <row r="106" spans="1:11" x14ac:dyDescent="0.25">
      <c r="A106" s="8">
        <v>104</v>
      </c>
      <c r="B106" s="9">
        <v>26102023513731</v>
      </c>
      <c r="C106" s="10" t="s">
        <v>1</v>
      </c>
      <c r="D106" s="9"/>
      <c r="E106" s="7">
        <v>264400</v>
      </c>
      <c r="F106" s="7">
        <v>54400</v>
      </c>
      <c r="G106" s="7">
        <v>318800</v>
      </c>
      <c r="H106" s="6">
        <v>271800</v>
      </c>
      <c r="I106" s="5">
        <v>47000</v>
      </c>
      <c r="J106" s="5"/>
      <c r="K106" s="4" t="s">
        <v>4</v>
      </c>
    </row>
    <row r="107" spans="1:11" x14ac:dyDescent="0.25">
      <c r="A107" s="8">
        <v>105</v>
      </c>
      <c r="B107" s="9">
        <v>26102023513746</v>
      </c>
      <c r="C107" s="10" t="s">
        <v>1</v>
      </c>
      <c r="D107" s="9"/>
      <c r="E107" s="7">
        <v>264400</v>
      </c>
      <c r="F107" s="7">
        <v>54400</v>
      </c>
      <c r="G107" s="7">
        <v>318800</v>
      </c>
      <c r="H107" s="6">
        <v>271800</v>
      </c>
      <c r="I107" s="5">
        <v>47000</v>
      </c>
      <c r="J107" s="5"/>
      <c r="K107" s="4" t="s">
        <v>4</v>
      </c>
    </row>
    <row r="108" spans="1:11" x14ac:dyDescent="0.25">
      <c r="A108" s="8">
        <v>287</v>
      </c>
      <c r="B108" s="9">
        <v>26102023569445</v>
      </c>
      <c r="C108" s="10" t="s">
        <v>2</v>
      </c>
      <c r="D108" s="9">
        <v>106329946</v>
      </c>
      <c r="E108" s="7">
        <v>264400</v>
      </c>
      <c r="F108" s="7">
        <v>78500</v>
      </c>
      <c r="G108" s="7">
        <v>342900</v>
      </c>
      <c r="H108" s="6">
        <v>342900</v>
      </c>
      <c r="I108" s="5"/>
      <c r="J108" s="5"/>
      <c r="K108" s="4" t="s">
        <v>4</v>
      </c>
    </row>
    <row r="109" spans="1:11" x14ac:dyDescent="0.25">
      <c r="A109" s="8">
        <v>218</v>
      </c>
      <c r="B109" s="9">
        <v>26102023569547</v>
      </c>
      <c r="C109" s="10" t="s">
        <v>1</v>
      </c>
      <c r="D109" s="9">
        <v>106415602</v>
      </c>
      <c r="E109" s="7">
        <v>2957400</v>
      </c>
      <c r="F109" s="7">
        <v>4327200</v>
      </c>
      <c r="G109" s="7">
        <v>7284600</v>
      </c>
      <c r="H109" s="6">
        <v>7284600</v>
      </c>
      <c r="I109" s="5" t="s">
        <v>0</v>
      </c>
      <c r="J109" s="5"/>
      <c r="K109" s="4" t="s">
        <v>4</v>
      </c>
    </row>
    <row r="110" spans="1:11" x14ac:dyDescent="0.25">
      <c r="A110" s="8">
        <v>383</v>
      </c>
      <c r="B110" s="9">
        <v>26102023648003</v>
      </c>
      <c r="C110" s="10" t="s">
        <v>1</v>
      </c>
      <c r="D110" s="8">
        <v>106373313</v>
      </c>
      <c r="E110" s="7">
        <v>3324400</v>
      </c>
      <c r="F110" s="7">
        <v>4686600</v>
      </c>
      <c r="G110" s="7">
        <v>8011000</v>
      </c>
      <c r="H110" s="6">
        <v>7198804</v>
      </c>
      <c r="I110" s="5">
        <v>812196</v>
      </c>
      <c r="J110" s="5"/>
      <c r="K110" s="4" t="s">
        <v>4</v>
      </c>
    </row>
    <row r="111" spans="1:11" x14ac:dyDescent="0.25">
      <c r="A111" s="8">
        <v>567</v>
      </c>
      <c r="B111" s="9">
        <v>26102023710399</v>
      </c>
      <c r="C111" s="10" t="s">
        <v>1</v>
      </c>
      <c r="D111" s="8">
        <v>106404630</v>
      </c>
      <c r="E111" s="7">
        <v>3734400</v>
      </c>
      <c r="F111" s="7">
        <v>4593800</v>
      </c>
      <c r="G111" s="7">
        <v>8328200</v>
      </c>
      <c r="H111" s="6">
        <v>8297000</v>
      </c>
      <c r="I111" s="5">
        <v>31200</v>
      </c>
      <c r="J111" s="5" t="s">
        <v>0</v>
      </c>
      <c r="K111" s="4" t="s">
        <v>4</v>
      </c>
    </row>
    <row r="112" spans="1:11" x14ac:dyDescent="0.25">
      <c r="A112" s="8">
        <v>448</v>
      </c>
      <c r="B112" s="9">
        <v>26102023716853</v>
      </c>
      <c r="C112" s="10" t="s">
        <v>1</v>
      </c>
      <c r="D112" s="8">
        <v>106407912</v>
      </c>
      <c r="E112" s="7">
        <v>2314400</v>
      </c>
      <c r="F112" s="7">
        <v>3041600</v>
      </c>
      <c r="G112" s="7">
        <v>5356000</v>
      </c>
      <c r="H112" s="6">
        <v>3858275</v>
      </c>
      <c r="I112" s="5">
        <v>1497725</v>
      </c>
      <c r="J112" s="5" t="s">
        <v>0</v>
      </c>
      <c r="K112" s="4" t="s">
        <v>4</v>
      </c>
    </row>
    <row r="113" spans="1:11" x14ac:dyDescent="0.25">
      <c r="A113" s="8">
        <v>419</v>
      </c>
      <c r="B113" s="9">
        <v>26102023710260</v>
      </c>
      <c r="C113" s="10" t="s">
        <v>2</v>
      </c>
      <c r="D113" s="8">
        <v>106406053</v>
      </c>
      <c r="E113" s="7">
        <v>2743400</v>
      </c>
      <c r="F113" s="7">
        <v>3600600</v>
      </c>
      <c r="G113" s="7">
        <v>6344000</v>
      </c>
      <c r="H113" s="6">
        <v>6344000</v>
      </c>
      <c r="I113" s="5" t="s">
        <v>0</v>
      </c>
      <c r="J113" s="5" t="s">
        <v>0</v>
      </c>
      <c r="K113" s="4"/>
    </row>
    <row r="114" spans="1:11" x14ac:dyDescent="0.25">
      <c r="A114" s="8">
        <v>453</v>
      </c>
      <c r="B114" s="9">
        <v>26102023710293</v>
      </c>
      <c r="C114" s="10" t="s">
        <v>2</v>
      </c>
      <c r="D114" s="8">
        <v>106405102</v>
      </c>
      <c r="E114" s="7">
        <v>2647400</v>
      </c>
      <c r="F114" s="7">
        <v>3439700</v>
      </c>
      <c r="G114" s="7">
        <v>6087100</v>
      </c>
      <c r="H114" s="6">
        <v>6087100</v>
      </c>
      <c r="I114" s="5" t="s">
        <v>0</v>
      </c>
      <c r="J114" s="5" t="s">
        <v>0</v>
      </c>
      <c r="K114" s="4"/>
    </row>
    <row r="115" spans="1:11" x14ac:dyDescent="0.25">
      <c r="A115" s="8"/>
      <c r="B115" s="9"/>
      <c r="C115" s="10"/>
      <c r="D115" s="8"/>
      <c r="E115" s="7"/>
      <c r="F115" s="7"/>
      <c r="G115" s="7"/>
      <c r="H115" s="6"/>
      <c r="I115" s="5"/>
      <c r="J115" s="5"/>
      <c r="K115" s="4"/>
    </row>
    <row r="180" spans="1:2" x14ac:dyDescent="0.25">
      <c r="A180" s="3"/>
      <c r="B180" s="3"/>
    </row>
    <row r="181" spans="1:2" x14ac:dyDescent="0.25">
      <c r="A181" s="3"/>
      <c r="B181" s="3"/>
    </row>
  </sheetData>
  <protectedRanges>
    <protectedRange algorithmName="SHA-512" hashValue="uQYwRPqGvz3kKeCp/ICcchR2Jef/+Ei9UVM+zzqgVICdhQrp1JC7rv8piS1a3N6PH/GSpCUnEYdyiV99jaI4Ig==" saltValue="wl5F+yNU6q/jfzmX74od9A==" spinCount="100000" sqref="C1:F1" name="Pagos"/>
    <protectedRange algorithmName="SHA-512" hashValue="oinRMoeeBx/9eM6LnqDiRR/FNnpsBhNihM9jSGFeer0vyq6W/adcexavdNPcP/3wmYeAPIjMxRHObKvc3Dst1A==" saltValue="krVd5wpz+Q9bdigBcjhvPw==" spinCount="100000" sqref="K1" name="Rango4_1"/>
  </protectedRanges>
  <conditionalFormatting sqref="A1">
    <cfRule type="duplicateValues" dxfId="6" priority="8"/>
  </conditionalFormatting>
  <conditionalFormatting sqref="C1">
    <cfRule type="cellIs" dxfId="4" priority="5" operator="equal">
      <formula>"Si"</formula>
    </cfRule>
    <cfRule type="cellIs" dxfId="3" priority="6" operator="lessThan">
      <formula>45272</formula>
    </cfRule>
  </conditionalFormatting>
  <conditionalFormatting sqref="H2:H115">
    <cfRule type="cellIs" dxfId="2" priority="3" operator="equal">
      <formula>0</formula>
    </cfRule>
  </conditionalFormatting>
  <conditionalFormatting sqref="I2:I115">
    <cfRule type="cellIs" dxfId="1" priority="2" operator="equal">
      <formula>0</formula>
    </cfRule>
  </conditionalFormatting>
  <conditionalFormatting sqref="J2:J115">
    <cfRule type="cellIs" dxfId="0" priority="1" operator="equal">
      <formula>0</formula>
    </cfRule>
  </conditionalFormatting>
  <dataValidations count="1">
    <dataValidation type="list" allowBlank="1" showInputMessage="1" showErrorMessage="1" sqref="C2:C115">
      <formula1>"Si,No"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25</dc:creator>
  <cp:lastModifiedBy>EQUIPO 25</cp:lastModifiedBy>
  <dcterms:created xsi:type="dcterms:W3CDTF">2026-05-20T17:53:36Z</dcterms:created>
  <dcterms:modified xsi:type="dcterms:W3CDTF">2026-05-20T20:36:18Z</dcterms:modified>
</cp:coreProperties>
</file>